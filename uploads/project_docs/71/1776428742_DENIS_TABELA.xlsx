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/>
  <mc:AlternateContent xmlns:mc="http://schemas.openxmlformats.org/markup-compatibility/2006">
    <mc:Choice Requires="x15">
      <x15ac:absPath xmlns:x15ac="http://schemas.microsoft.com/office/spreadsheetml/2010/11/ac" url="https://d.docs.live.net/4a39b46a65badc1f/1CONSIG_RELATORIOS 2020/Área de Trabalho/"/>
    </mc:Choice>
  </mc:AlternateContent>
  <xr:revisionPtr revIDLastSave="3" documentId="8_{79D16B5D-A6FA-44CD-9240-63903416436E}" xr6:coauthVersionLast="47" xr6:coauthVersionMax="47" xr10:uidLastSave="{7E0F1B2C-E1F8-4526-B0E6-A646D7B15069}"/>
  <bookViews>
    <workbookView xWindow="-120" yWindow="-120" windowWidth="20730" windowHeight="11160" xr2:uid="{F01A5FFF-FBEC-4E5C-BF51-A2EE1AD65EC0}"/>
  </bookViews>
  <sheets>
    <sheet name="TR (3)" sheetId="1" r:id="rId1"/>
  </sheets>
  <externalReferences>
    <externalReference r:id="rId2"/>
    <externalReference r:id="rId3"/>
  </externalReferences>
  <definedNames>
    <definedName name="BANCOS">#REF!</definedName>
    <definedName name="basededados">'[1]JAN-DEZ 2024'!#REF!</definedName>
    <definedName name="comparativo">#REF!</definedName>
    <definedName name="MESES">#REF!</definedName>
    <definedName name="PRIMEIRO">INDEX(#REF!,MATCH([2]RANKING1!$H$8,#REF!,0))</definedName>
    <definedName name="QUALQUER">#REF!</definedName>
    <definedName name="SEGUNDO">INDEX(#REF!,MATCH([2]RANKING1!$F$11,#REF!,0))</definedName>
    <definedName name="TERCEIRO">INDEX(#REF!,MATCH([2]RANKING1!$J$12,#REF!,0))</definedName>
    <definedName name="TIPOSS">#REF!</definedName>
    <definedName name="VALIDANDO">#REF!</definedName>
    <definedName name="Vendedor">INDEX(#REF!,MATCH(#REF!,#REF!,),2)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<sst xmlns="http://schemas.openxmlformats.org/spreadsheetml/2006/main" count="94" uniqueCount="40">
  <si>
    <t>VIGENCIA</t>
  </si>
  <si>
    <t>BANCO</t>
  </si>
  <si>
    <t>PROMOTORA</t>
  </si>
  <si>
    <t>CONVÊNIO</t>
  </si>
  <si>
    <t>PRODUTO</t>
  </si>
  <si>
    <t>TIPO OPERAÇÃO</t>
  </si>
  <si>
    <t>SEGURO</t>
  </si>
  <si>
    <t>TIPO DO SEGURO</t>
  </si>
  <si>
    <t>LIQ_BRUTO</t>
  </si>
  <si>
    <t>COD TABELA</t>
  </si>
  <si>
    <t>NOME DA TABELA</t>
  </si>
  <si>
    <t xml:space="preserve">PRAZO DE </t>
  </si>
  <si>
    <t>% FLAT</t>
  </si>
  <si>
    <t>% ANTEC</t>
  </si>
  <si>
    <t>% BONUS</t>
  </si>
  <si>
    <t>VLR ADESAO</t>
  </si>
  <si>
    <t>% PCT SEGURO</t>
  </si>
  <si>
    <t>AMIGOZ</t>
  </si>
  <si>
    <t>DG PROM</t>
  </si>
  <si>
    <t>INSS</t>
  </si>
  <si>
    <t>RCC CARTAO</t>
  </si>
  <si>
    <t>PLASTICO</t>
  </si>
  <si>
    <t>NÃO</t>
  </si>
  <si>
    <t>LIQUIDO</t>
  </si>
  <si>
    <t>AMIGOZ | INSS | CARTAO BENEFICIO / RL | TAXA 2,46% - SEM SAQUE |</t>
  </si>
  <si>
    <t>AD PROM</t>
  </si>
  <si>
    <t>COM SAQ</t>
  </si>
  <si>
    <t>AMIGOZ | INSS | SAQUE BENEFICIO | TAXA 2,46% - SEM SEGURO | 36 - 36X</t>
  </si>
  <si>
    <t>LEV PROM</t>
  </si>
  <si>
    <t>AMIGOZ | INSS | SAQUE BENEFICIO - LOAS | TAXA 2,46% - SEM SEGURO | 84 - 96X</t>
  </si>
  <si>
    <t>DIRETO</t>
  </si>
  <si>
    <t>AMIGOZ | INSS | SAQUE BENEFICIO - INVALID | TAXA 2,46% - SEM SEGURO | 84 - 96X</t>
  </si>
  <si>
    <t>AMIGOZ | INSS | SAQUE BENEFICIO - INVALID | TAXA 2,46% - SEM SEGURO | 72 - 72X</t>
  </si>
  <si>
    <t>BMG</t>
  </si>
  <si>
    <t>NOVO</t>
  </si>
  <si>
    <t>OPCIONAL</t>
  </si>
  <si>
    <t>10% EMPR</t>
  </si>
  <si>
    <t>BRUTO</t>
  </si>
  <si>
    <t xml:space="preserve"> INSS LOAS 87 88 DIGITAL TOKEN</t>
  </si>
  <si>
    <t xml:space="preserve">TAXA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</si>
</sst>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6]d\-mmm\-yy;@"/>
    <numFmt numFmtId="165" formatCode="_-* #,##0.000_-;\-* #,##0.000_-;_-* &quot;-&quot;??_-;_-@_-"/>
    <numFmt numFmtId="166" formatCode="_-* #,##0.0_-;\-* #,##0.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 Nova Cond"/>
      <family val="2"/>
    </font>
    <font>
      <sz val="9"/>
      <color theme="1"/>
      <name val="Livvic"/>
    </font>
    <font>
      <sz val="9"/>
      <color rgb="FF000000"/>
      <name val="Livvic"/>
    </font>
    <font>
      <sz val="11"/>
      <name val="Calibri"/>
      <family val="2"/>
    </font>
    <font>
      <sz val="9"/>
      <name val="Livvic"/>
    </font>
    <font>
      <sz val="11"/>
      <color theme="1"/>
      <name val="Arial Nova Cond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rgb="FFFFD966"/>
      </left>
      <right style="thin">
        <color theme="7" tint="0.39997558519241921"/>
      </right>
      <top style="thin">
        <color rgb="FFFFD966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rgb="FFFFD966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rgb="FFFFD966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</borders>
  <cellStyleXfs count="4">
    <xf numFmtId="164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8">
    <xf numFmtId="164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164" fontId="2" fillId="2" borderId="2" xfId="0" applyFont="1" applyFill="1" applyBorder="1" applyAlignment="1">
      <alignment horizontal="center" vertical="center"/>
    </xf>
    <xf numFmtId="164" fontId="2" fillId="2" borderId="3" xfId="0" applyFont="1" applyFill="1" applyBorder="1" applyAlignment="1">
      <alignment vertical="center" wrapText="1"/>
    </xf>
    <xf numFmtId="164" fontId="2" fillId="2" borderId="3" xfId="0" applyFont="1" applyFill="1" applyBorder="1" applyAlignment="1">
      <alignment horizontal="center" vertical="center"/>
    </xf>
    <xf numFmtId="164" fontId="2" fillId="2" borderId="3" xfId="0" applyFont="1" applyFill="1" applyBorder="1" applyAlignment="1">
      <alignment horizontal="center" vertical="center" wrapText="1"/>
    </xf>
    <xf numFmtId="164" fontId="2" fillId="2" borderId="3" xfId="0" applyFont="1" applyFill="1" applyBorder="1" applyAlignment="1">
      <alignment horizontal="left" vertical="center"/>
    </xf>
    <xf numFmtId="2" fontId="2" fillId="2" borderId="3" xfId="2" applyNumberFormat="1" applyFont="1" applyFill="1" applyBorder="1" applyAlignment="1">
      <alignment horizontal="center" vertical="center" wrapText="1"/>
    </xf>
    <xf numFmtId="164" fontId="3" fillId="0" borderId="0" xfId="0" applyFont="1" applyAlignment="1">
      <alignment vertical="center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5" xfId="0" applyFont="1" applyBorder="1" applyAlignment="1" applyProtection="1">
      <alignment horizontal="left" vertical="center"/>
      <protection locked="0"/>
    </xf>
    <xf numFmtId="164" fontId="5" fillId="0" borderId="5" xfId="0" applyFont="1" applyBorder="1" applyAlignment="1" applyProtection="1">
      <alignment horizontal="left" vertical="center"/>
      <protection locked="0"/>
    </xf>
    <xf numFmtId="164" fontId="4" fillId="0" borderId="6" xfId="0" applyFont="1" applyBorder="1" applyAlignment="1" applyProtection="1">
      <alignment horizontal="left" vertical="center"/>
      <protection locked="0"/>
    </xf>
    <xf numFmtId="0" fontId="4" fillId="0" borderId="6" xfId="0" applyNumberFormat="1" applyFont="1" applyBorder="1" applyAlignment="1" applyProtection="1">
      <alignment horizontal="left" vertical="center"/>
      <protection locked="0"/>
    </xf>
    <xf numFmtId="0" fontId="4" fillId="0" borderId="4" xfId="0" applyNumberFormat="1" applyFont="1" applyBorder="1" applyAlignment="1" applyProtection="1">
      <alignment horizontal="center" vertical="center"/>
      <protection locked="0"/>
    </xf>
    <xf numFmtId="0" fontId="7" fillId="0" borderId="0" xfId="3" applyFont="1" applyAlignment="1">
      <alignment horizontal="left"/>
    </xf>
    <xf numFmtId="1" fontId="4" fillId="0" borderId="7" xfId="0" applyNumberFormat="1" applyFont="1" applyBorder="1" applyAlignment="1" applyProtection="1">
      <alignment horizontal="center" vertical="center"/>
      <protection locked="0"/>
    </xf>
    <xf numFmtId="4" fontId="4" fillId="0" borderId="5" xfId="2" applyNumberFormat="1" applyFont="1" applyFill="1" applyBorder="1" applyAlignment="1" applyProtection="1">
      <alignment horizontal="center" vertical="center"/>
      <protection locked="0"/>
    </xf>
    <xf numFmtId="4" fontId="4" fillId="0" borderId="5" xfId="1" applyNumberFormat="1" applyFont="1" applyFill="1" applyBorder="1" applyAlignment="1" applyProtection="1">
      <alignment horizontal="center" vertical="center"/>
      <protection locked="0"/>
    </xf>
    <xf numFmtId="4" fontId="4" fillId="0" borderId="5" xfId="1" applyNumberFormat="1" applyFont="1" applyFill="1" applyBorder="1" applyAlignment="1" applyProtection="1">
      <alignment horizontal="left" vertical="center"/>
      <protection locked="0"/>
    </xf>
    <xf numFmtId="4" fontId="4" fillId="0" borderId="5" xfId="1" applyNumberFormat="1" applyFont="1" applyFill="1" applyBorder="1" applyAlignment="1">
      <alignment horizontal="center" vertical="center"/>
    </xf>
    <xf numFmtId="164" fontId="8" fillId="0" borderId="0" xfId="0" applyFont="1" applyAlignment="1">
      <alignment vertical="center"/>
    </xf>
    <xf numFmtId="164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NumberFormat="1" applyFont="1" applyBorder="1" applyAlignment="1" applyProtection="1">
      <alignment horizontal="left" vertical="center" wrapText="1"/>
      <protection locked="0"/>
    </xf>
    <xf numFmtId="1" fontId="4" fillId="0" borderId="7" xfId="0" applyNumberFormat="1" applyFont="1" applyBorder="1" applyAlignment="1" applyProtection="1">
      <alignment horizontal="center" vertical="center" wrapText="1"/>
      <protection locked="0"/>
    </xf>
    <xf numFmtId="164" fontId="4" fillId="0" borderId="0" xfId="0" applyFont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locked="0"/>
    </xf>
    <xf numFmtId="164" fontId="4" fillId="0" borderId="0" xfId="0" applyFont="1" applyAlignment="1" applyProtection="1">
      <alignment vertical="center"/>
      <protection locked="0"/>
    </xf>
    <xf numFmtId="164" fontId="4" fillId="0" borderId="0" xfId="0" applyFont="1" applyAlignment="1" applyProtection="1">
      <alignment horizontal="left" vertical="center"/>
      <protection locked="0"/>
    </xf>
    <xf numFmtId="0" fontId="4" fillId="0" borderId="0" xfId="0" applyNumberFormat="1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left" vertical="center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2" fontId="4" fillId="0" borderId="0" xfId="2" applyNumberFormat="1" applyFont="1" applyFill="1" applyBorder="1" applyAlignment="1" applyProtection="1">
      <alignment horizontal="center" vertical="center"/>
      <protection locked="0"/>
    </xf>
    <xf numFmtId="4" fontId="4" fillId="0" borderId="0" xfId="2" applyNumberFormat="1" applyFont="1" applyFill="1" applyBorder="1" applyAlignment="1" applyProtection="1">
      <alignment horizontal="center" vertical="center"/>
      <protection locked="0"/>
    </xf>
    <xf numFmtId="4" fontId="4" fillId="0" borderId="0" xfId="1" applyNumberFormat="1" applyFont="1" applyFill="1" applyBorder="1" applyAlignment="1" applyProtection="1">
      <alignment horizontal="center" vertical="center"/>
      <protection locked="0"/>
    </xf>
    <xf numFmtId="165" fontId="4" fillId="0" borderId="0" xfId="1" applyNumberFormat="1" applyFont="1" applyFill="1" applyBorder="1" applyAlignment="1" applyProtection="1">
      <alignment horizontal="left" vertical="center"/>
      <protection locked="0"/>
    </xf>
    <xf numFmtId="166" fontId="4" fillId="0" borderId="0" xfId="1" applyNumberFormat="1" applyFont="1" applyFill="1" applyBorder="1" applyAlignment="1">
      <alignment horizontal="center" vertical="center"/>
    </xf>
    <xf numFmtId="4" fontId="4" fillId="0" borderId="0" xfId="0" applyNumberFormat="1" applyFont="1" applyAlignment="1" applyProtection="1">
      <alignment horizontal="center" vertical="center"/>
      <protection locked="0"/>
    </xf>
  </cellXfs>
  <cellStyles count="4">
    <cellStyle name="Normal" xfId="0" builtinId="0"/>
    <cellStyle name="Normal 26" xfId="3" xr:uid="{63708065-ABC1-4100-998E-F86EBDC3B9E5}"/>
    <cellStyle name="Porcentagem" xfId="2" builtinId="5"/>
    <cellStyle name="Vírgula" xfId="1" builtinId="3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>
        <left style="thin">
          <color theme="7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1" formatCode="0"/>
      <alignment horizontal="left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/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/>
        <top style="thin">
          <color theme="7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/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ivvic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  <protection locked="0" hidden="0"/>
    </dxf>
    <dxf>
      <border outline="0">
        <top style="thin">
          <color rgb="FFFFD966"/>
        </top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Livvic"/>
        <scheme val="none"/>
      </font>
    </dxf>
    <dxf>
      <border outline="0">
        <bottom style="thin">
          <color rgb="FFFFD96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a\OneDrive\1CONSIG_RELATORIOS%202020\&#193;rea%20de%20Trabalho\CAMPANHAS%202025\MDC%20FINANCEIRO\JAN_DEZ%202025%20ATUALIZADO.xlsx" TargetMode="External"/><Relationship Id="rId1" Type="http://schemas.openxmlformats.org/officeDocument/2006/relationships/externalLinkPath" Target="file:///C:\Users\Marta\OneDrive\1CONSIG_RELATORIOS%202020\&#193;rea%20de%20Trabalho\CAMPANHAS%202025\MDC%20FINANCEIRO\JAN_DEZ%202025%20ATUALIZAD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a\OneDrive\1BACKUP%20SISTEMA%20LUACRED\A%20SISTEMA%20LUACRED%20NOVO\BACKOFFICE\PLANILHA%20DE%20VENDAS\2025\2026\03%20-%20MAR&#199;O%2026.xlsx" TargetMode="External"/><Relationship Id="rId1" Type="http://schemas.openxmlformats.org/officeDocument/2006/relationships/externalLinkPath" Target="file:///C:\Users\Marta\OneDrive\1BACKUP%20SISTEMA%20LUACRED\A%20SISTEMA%20LUACRED%20NOVO\BACKOFFICE\PLANILHA%20DE%20VENDAS\2025\2026\03%20-%20MAR&#199;O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LHA FUNC (2)"/>
      <sheetName val="SALDO_CONTAS 01"/>
      <sheetName val="SALDO_CONTAS 02.2023"/>
      <sheetName val="TRANSF_INTERNA02"/>
      <sheetName val="COD"/>
      <sheetName val="CODIGO"/>
      <sheetName val="CONTROLE DE PIX"/>
      <sheetName val="A PAGAR"/>
      <sheetName val="JAN-DEZ 2024"/>
      <sheetName val="PAGO"/>
      <sheetName val="REL DESP GERAL 2023"/>
      <sheetName val="A PAGAR NOVO 2023"/>
      <sheetName val="TRANSF INTERNA"/>
      <sheetName val="DEBITO CREDITO"/>
      <sheetName val="ATRASOS OBRIGAT"/>
      <sheetName val="DESP OBRIGAT"/>
      <sheetName val="BASE CADASTRO 2024"/>
      <sheetName val="GERAL 2024-2025"/>
      <sheetName val="PROGRhoje"/>
      <sheetName val="PROGRjulho"/>
      <sheetName val="PROGRhoje 17-10"/>
      <sheetName val="DASHBOARD"/>
      <sheetName val="BASE CADASTRO"/>
      <sheetName val="SALDO DO DIA"/>
      <sheetName val="FUNC"/>
      <sheetName val="CODJUNHO"/>
      <sheetName val="Planilha2"/>
      <sheetName val="DESP_MES 2026"/>
      <sheetName val="ESTAGIO"/>
      <sheetName val="DESP ADMIN MENSAL"/>
      <sheetName val="SALDO PESSOAL"/>
      <sheetName val="Planilha1"/>
      <sheetName val="FOLHA DE FUNC"/>
      <sheetName val="TR1"/>
      <sheetName val="TRANSF INTER"/>
      <sheetName val="dg deb"/>
      <sheetName val="COMISSAO CORRETOR"/>
      <sheetName val="DESP 7.0 MISTA"/>
      <sheetName val="PROGRAM ATE JUNHO"/>
      <sheetName val="DESP 7.0 PESSOAL 2025"/>
      <sheetName val="RESUMO A RECEBER"/>
      <sheetName val="DRE 2023-2025"/>
      <sheetName val="KGIRO ITAU"/>
      <sheetName val="RESUMO"/>
      <sheetName val="SALARIO (2)"/>
      <sheetName val="CADASTRO"/>
      <sheetName val="LIST"/>
      <sheetName val="PAGAR DIARIO"/>
      <sheetName val="RECEITAdet06.2024"/>
      <sheetName val="RECEITAdet06.2024 (2)"/>
      <sheetName val="TOTAL A PAGAR "/>
      <sheetName val="DESPESAdet06.2024"/>
      <sheetName val="RECEITA_desp"/>
      <sheetName val="Grupo06.2024"/>
      <sheetName val="AD FUNC 06.2024"/>
      <sheetName val="JAN_FEV_MARÇO"/>
      <sheetName val="ABRIL_MAIO_JUNHO"/>
      <sheetName val="JUNHO-JULHO-AGOSTO"/>
      <sheetName val="AGOSTO-SETEMBRO -OUTUB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B2" t="str">
            <v>1.0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TES"/>
      <sheetName val="BASE PERCENTUAL"/>
      <sheetName val="BASE ACELERADOR"/>
      <sheetName val="ABERTCTA"/>
      <sheetName val="META ABERCTA MANUAL"/>
      <sheetName val="TR DEZEMBRO"/>
      <sheetName val="QDE CONTRATOS"/>
      <sheetName val="TR (2)"/>
      <sheetName val="Planilha5 (2)"/>
      <sheetName val="RES_VENDAS"/>
      <sheetName val="PROD_ANUAL"/>
      <sheetName val="BANCO_ANUAL"/>
      <sheetName val="cancelados até setembro"/>
      <sheetName val="RESUMO_PONTA"/>
      <sheetName val="ORIGEM_VENDA "/>
      <sheetName val="RELATOR"/>
      <sheetName val="COLAB_ANUAL"/>
      <sheetName val="RES_FUNC"/>
      <sheetName val="STATUS"/>
      <sheetName val="BASE"/>
      <sheetName val="META_LUA"/>
      <sheetName val="ESTAGIO"/>
      <sheetName val="CORRET GERAL"/>
      <sheetName val="COLAB PAGO"/>
      <sheetName val="CARTOES"/>
      <sheetName val="Planilha1"/>
      <sheetName val="TR (3)"/>
      <sheetName val="Planilha5"/>
      <sheetName val="RESUMO GERAL"/>
      <sheetName val="TR"/>
      <sheetName val="PAINEL1"/>
      <sheetName val="CONTROLE DE CARDS"/>
      <sheetName val="CASHBACK"/>
      <sheetName val="RES DESEMPENHO"/>
      <sheetName val="CONTROLE DE PIX"/>
      <sheetName val="STATUS CONT GRANDE"/>
      <sheetName val="META GERAL"/>
      <sheetName val="STATUS CONT"/>
      <sheetName val="DISTRIB_META"/>
      <sheetName val="STATUS ACOMP"/>
      <sheetName val="RQV VENDAS ATINGIDAS"/>
      <sheetName val="GERAL LOJA"/>
      <sheetName val="Planilha3"/>
      <sheetName val="Planilha4"/>
      <sheetName val="Planilha2"/>
      <sheetName val="RECIBO corretor"/>
      <sheetName val="CONSULTORA"/>
      <sheetName val="COMISSAO CORRETOR"/>
      <sheetName val="GRATIF"/>
      <sheetName val="CONTA"/>
      <sheetName val="META CONTA"/>
      <sheetName val="META ABERCTA"/>
      <sheetName val="CLASSIFICAÇÃO "/>
      <sheetName val="INDICADORES"/>
      <sheetName val="RESUMO IMPOSTOS"/>
      <sheetName val="EQUIPES"/>
      <sheetName val="OUT-DEZEMBRO"/>
      <sheetName val="CALLCENTER"/>
      <sheetName val="PAGOTR"/>
      <sheetName val="ABRIL-SETEMBRO"/>
      <sheetName val="CMD BALCAO"/>
      <sheetName val="ACELERADOR BONUS"/>
      <sheetName val="PRODUTOS"/>
      <sheetName val="TOTAL PAGO_ANUAL"/>
      <sheetName val="COLAB META"/>
      <sheetName val="RANKING1"/>
      <sheetName val="CARD"/>
      <sheetName val="RANKCARD"/>
      <sheetName val="AUX"/>
      <sheetName val="RANKING AUXILIO"/>
      <sheetName val="mensagens"/>
      <sheetName val="controle hiscon"/>
      <sheetName val="CONSIST"/>
      <sheetName val="DADOS"/>
      <sheetName val="ANIVERSARI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8">
          <cell r="H8" t="e">
            <v>#REF!</v>
          </cell>
        </row>
        <row r="11">
          <cell r="F11" t="e">
            <v>#REF!</v>
          </cell>
        </row>
        <row r="12">
          <cell r="J12" t="e">
            <v>#REF!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65594-94AE-4D1A-BF03-48B41E153818}" name="Tabela112223356266629" displayName="Tabela112223356266629" ref="B1:S10" totalsRowShown="0" headerRowDxfId="21" dataDxfId="19" headerRowBorderDxfId="20" tableBorderDxfId="18">
  <autoFilter ref="B1:S10" xr:uid="{25D095C8-C606-4593-BD62-A1CCCA0C08CD}"/>
  <tableColumns count="18">
    <tableColumn id="1" xr3:uid="{F1CB8631-5D3C-46C1-9C64-CB0FB2552D22}" name="VIGENCIA" dataDxfId="17"/>
    <tableColumn id="14" xr3:uid="{7F82F033-1448-4FFF-B3B7-28ED5AA44A91}" name="BANCO" dataDxfId="16"/>
    <tableColumn id="12" xr3:uid="{9EE7AADC-639A-45D9-B273-AD30EDC8EAEE}" name="PROMOTORA" dataDxfId="15"/>
    <tableColumn id="2" xr3:uid="{4F8A6A1B-9077-424F-A995-1D2E513F639F}" name="CONVÊNIO" dataDxfId="14"/>
    <tableColumn id="3" xr3:uid="{E06B8D46-2390-41AF-8B06-57552CCFB594}" name="PRODUTO" dataDxfId="13"/>
    <tableColumn id="43" xr3:uid="{87FF70A8-C74B-4307-AA45-39968CDC5CCE}" name="TIPO OPERAÇÃO" dataDxfId="12"/>
    <tableColumn id="23" xr3:uid="{B01DF945-C9EE-4D4C-9290-B0000DD0472F}" name="SEGURO" dataDxfId="11"/>
    <tableColumn id="6" xr3:uid="{69F4F08D-DA15-4FF9-9B46-02DB55DB18C6}" name="TIPO DO SEGURO" dataDxfId="10"/>
    <tableColumn id="7" xr3:uid="{B28E6392-99EF-49AE-898D-79C93B1A0547}" name="LIQ_BRUTO" dataDxfId="9"/>
    <tableColumn id="8" xr3:uid="{A6997A23-CE83-45B0-822D-EC81999DDE4F}" name="COD TABELA" dataDxfId="8"/>
    <tableColumn id="20" xr3:uid="{02283D84-E226-426E-8DB1-53A98E5925C7}" name="NOME DA TABELA" dataDxfId="7"/>
    <tableColumn id="9" xr3:uid="{ABABC64C-534A-4E3B-9CA5-B01DED1DB458}" name="PRAZO DE " dataDxfId="6"/>
    <tableColumn id="10" xr3:uid="{F48C1CB5-6023-4F54-ADBE-B4D9FC97B4DB}" name="TAXA " dataDxfId="5" dataCellStyle="Porcentagem"/>
    <tableColumn id="31" xr3:uid="{D5BA3481-5D59-472F-A5E5-3985F805CCB0}" name="% FLAT" dataDxfId="4" dataCellStyle="Porcentagem"/>
    <tableColumn id="28" xr3:uid="{B5E70589-D70F-4001-86B8-D1282651A28E}" name="% ANTEC" dataDxfId="3" dataCellStyle="Vírgula"/>
    <tableColumn id="30" xr3:uid="{54565F9C-AD6D-4C18-AD6F-61C388A3DF8B}" name="% BONUS" dataDxfId="2" dataCellStyle="Vírgula"/>
    <tableColumn id="25" xr3:uid="{FECF121A-C4DF-4E7B-AAA9-5FEFAB496070}" name="VLR ADESAO" dataDxfId="1" dataCellStyle="Vírgula"/>
    <tableColumn id="13" xr3:uid="{54044029-7B52-4369-B60A-0BCE01D6E756}" name="% PCT SEGURO" dataDxfId="0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45FA-7A87-423D-B858-776A7BB608A8}">
  <sheetPr>
    <tabColor rgb="FFFF0000"/>
  </sheetPr>
  <dimension ref="A1:S10"/>
  <sheetViews>
    <sheetView showGridLines="0" tabSelected="1" zoomScale="91" zoomScaleNormal="91" workbookViewId="0">
      <selection activeCell="L12" sqref="L12"/>
    </sheetView>
  </sheetViews>
  <sheetFormatPr defaultRowHeight="21.95" customHeight="1" x14ac:dyDescent="0.25"/>
  <cols>
    <col min="1" max="1" width="3.85546875" style="25" customWidth="1"/>
    <col min="2" max="2" width="12.140625" style="26" bestFit="1" customWidth="1"/>
    <col min="3" max="3" width="10" style="27" customWidth="1"/>
    <col min="4" max="4" width="14.140625" style="27" customWidth="1"/>
    <col min="5" max="5" width="11.140625" style="27" customWidth="1"/>
    <col min="6" max="6" width="12.85546875" style="28" customWidth="1"/>
    <col min="7" max="7" width="11.5703125" style="28" customWidth="1"/>
    <col min="8" max="8" width="11.28515625" style="28" customWidth="1"/>
    <col min="9" max="9" width="11.85546875" style="28" customWidth="1"/>
    <col min="10" max="10" width="10.85546875" style="28" customWidth="1"/>
    <col min="11" max="11" width="9.140625" style="29" customWidth="1"/>
    <col min="12" max="12" width="42.42578125" style="30" customWidth="1"/>
    <col min="13" max="13" width="9.42578125" style="31" customWidth="1"/>
    <col min="14" max="14" width="8" style="32" customWidth="1"/>
    <col min="15" max="15" width="8.42578125" style="33" customWidth="1"/>
    <col min="16" max="16" width="12.42578125" style="34" customWidth="1"/>
    <col min="17" max="17" width="12.42578125" style="35" customWidth="1"/>
    <col min="18" max="18" width="12.42578125" style="36" customWidth="1"/>
    <col min="19" max="19" width="12.42578125" style="37" customWidth="1"/>
    <col min="20" max="16384" width="9.140625" style="21"/>
  </cols>
  <sheetData>
    <row r="1" spans="2:19" s="8" customFormat="1" ht="31.5" customHeight="1" x14ac:dyDescent="0.25"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5" t="s">
        <v>11</v>
      </c>
      <c r="N1" s="7" t="s">
        <v>39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2:19" ht="20.25" customHeight="1" x14ac:dyDescent="0.3">
      <c r="B2" s="9">
        <v>45818</v>
      </c>
      <c r="C2" s="10" t="s">
        <v>17</v>
      </c>
      <c r="D2" s="10" t="s">
        <v>18</v>
      </c>
      <c r="E2" s="11" t="s">
        <v>19</v>
      </c>
      <c r="F2" s="11" t="s">
        <v>20</v>
      </c>
      <c r="G2" s="12" t="s">
        <v>21</v>
      </c>
      <c r="H2" s="12" t="s">
        <v>22</v>
      </c>
      <c r="I2" s="13">
        <v>0</v>
      </c>
      <c r="J2" s="10" t="s">
        <v>23</v>
      </c>
      <c r="K2" s="14">
        <v>169585</v>
      </c>
      <c r="L2" s="15" t="s">
        <v>24</v>
      </c>
      <c r="M2" s="16">
        <v>0</v>
      </c>
      <c r="N2" s="17">
        <v>2.46</v>
      </c>
      <c r="O2" s="17"/>
      <c r="P2" s="18"/>
      <c r="Q2" s="19"/>
      <c r="R2" s="20"/>
      <c r="S2" s="18"/>
    </row>
    <row r="3" spans="2:19" ht="21.95" customHeight="1" x14ac:dyDescent="0.3">
      <c r="B3" s="9">
        <v>45818</v>
      </c>
      <c r="C3" s="10" t="s">
        <v>17</v>
      </c>
      <c r="D3" s="10" t="s">
        <v>25</v>
      </c>
      <c r="E3" s="10" t="s">
        <v>19</v>
      </c>
      <c r="F3" s="10" t="s">
        <v>20</v>
      </c>
      <c r="G3" s="12" t="s">
        <v>26</v>
      </c>
      <c r="H3" s="12" t="s">
        <v>22</v>
      </c>
      <c r="I3" s="13">
        <v>4</v>
      </c>
      <c r="J3" s="10" t="s">
        <v>23</v>
      </c>
      <c r="K3" s="14">
        <v>169617</v>
      </c>
      <c r="L3" s="15" t="s">
        <v>27</v>
      </c>
      <c r="M3" s="16">
        <v>36</v>
      </c>
      <c r="N3" s="17">
        <v>2.46</v>
      </c>
      <c r="O3" s="17">
        <v>0</v>
      </c>
      <c r="P3" s="18"/>
      <c r="Q3" s="19"/>
      <c r="R3" s="20"/>
      <c r="S3" s="18"/>
    </row>
    <row r="4" spans="2:19" ht="21.95" customHeight="1" x14ac:dyDescent="0.3">
      <c r="B4" s="9">
        <v>45818</v>
      </c>
      <c r="C4" s="10" t="s">
        <v>17</v>
      </c>
      <c r="D4" s="10" t="s">
        <v>28</v>
      </c>
      <c r="E4" s="10" t="s">
        <v>19</v>
      </c>
      <c r="F4" s="10" t="s">
        <v>20</v>
      </c>
      <c r="G4" s="12" t="s">
        <v>26</v>
      </c>
      <c r="H4" s="12" t="s">
        <v>22</v>
      </c>
      <c r="I4" s="13">
        <v>0</v>
      </c>
      <c r="J4" s="10" t="s">
        <v>23</v>
      </c>
      <c r="K4" s="14">
        <v>169623</v>
      </c>
      <c r="L4" s="15" t="s">
        <v>29</v>
      </c>
      <c r="M4" s="16">
        <v>96</v>
      </c>
      <c r="N4" s="17">
        <v>2.46</v>
      </c>
      <c r="O4" s="17">
        <v>6.5</v>
      </c>
      <c r="P4" s="18">
        <v>2</v>
      </c>
      <c r="Q4" s="19">
        <v>5</v>
      </c>
      <c r="R4" s="20"/>
      <c r="S4" s="18">
        <v>1</v>
      </c>
    </row>
    <row r="5" spans="2:19" ht="21.95" customHeight="1" x14ac:dyDescent="0.3">
      <c r="B5" s="9">
        <v>45818</v>
      </c>
      <c r="C5" s="10" t="s">
        <v>17</v>
      </c>
      <c r="D5" s="10" t="s">
        <v>30</v>
      </c>
      <c r="E5" s="10" t="s">
        <v>19</v>
      </c>
      <c r="F5" s="10" t="s">
        <v>20</v>
      </c>
      <c r="G5" s="12" t="s">
        <v>26</v>
      </c>
      <c r="H5" s="12" t="s">
        <v>22</v>
      </c>
      <c r="I5" s="13">
        <v>0</v>
      </c>
      <c r="J5" s="10" t="s">
        <v>23</v>
      </c>
      <c r="K5" s="14">
        <v>169625</v>
      </c>
      <c r="L5" s="15" t="s">
        <v>31</v>
      </c>
      <c r="M5" s="16">
        <v>84</v>
      </c>
      <c r="N5" s="17">
        <v>2.46</v>
      </c>
      <c r="O5" s="17">
        <v>6.5</v>
      </c>
      <c r="P5" s="18"/>
      <c r="Q5" s="19"/>
      <c r="R5" s="20"/>
      <c r="S5" s="18"/>
    </row>
    <row r="6" spans="2:19" ht="21.95" customHeight="1" x14ac:dyDescent="0.3">
      <c r="B6" s="9">
        <v>45818</v>
      </c>
      <c r="C6" s="10" t="s">
        <v>17</v>
      </c>
      <c r="D6" s="10" t="s">
        <v>30</v>
      </c>
      <c r="E6" s="10" t="s">
        <v>19</v>
      </c>
      <c r="F6" s="10" t="s">
        <v>20</v>
      </c>
      <c r="G6" s="12" t="s">
        <v>26</v>
      </c>
      <c r="H6" s="12" t="s">
        <v>22</v>
      </c>
      <c r="I6" s="13">
        <v>0</v>
      </c>
      <c r="J6" s="10" t="s">
        <v>23</v>
      </c>
      <c r="K6" s="14">
        <v>169626</v>
      </c>
      <c r="L6" s="15" t="s">
        <v>32</v>
      </c>
      <c r="M6" s="16">
        <v>72</v>
      </c>
      <c r="N6" s="17">
        <v>2.46</v>
      </c>
      <c r="O6" s="17">
        <v>4.5</v>
      </c>
      <c r="P6" s="18"/>
      <c r="Q6" s="19"/>
      <c r="R6" s="20"/>
      <c r="S6" s="18"/>
    </row>
    <row r="7" spans="2:19" ht="21.95" customHeight="1" x14ac:dyDescent="0.3">
      <c r="B7" s="9">
        <v>45880</v>
      </c>
      <c r="C7" s="22" t="s">
        <v>33</v>
      </c>
      <c r="D7" s="10" t="s">
        <v>30</v>
      </c>
      <c r="E7" s="10" t="s">
        <v>19</v>
      </c>
      <c r="F7" s="10" t="s">
        <v>34</v>
      </c>
      <c r="G7" s="12" t="s">
        <v>34</v>
      </c>
      <c r="H7" s="12" t="s">
        <v>35</v>
      </c>
      <c r="I7" s="23" t="s">
        <v>36</v>
      </c>
      <c r="J7" s="10" t="s">
        <v>37</v>
      </c>
      <c r="K7" s="14">
        <v>9836</v>
      </c>
      <c r="L7" s="15" t="s">
        <v>38</v>
      </c>
      <c r="M7" s="24">
        <v>12</v>
      </c>
      <c r="N7" s="17">
        <v>1.85</v>
      </c>
      <c r="O7" s="17">
        <v>0.5</v>
      </c>
      <c r="P7" s="18"/>
      <c r="Q7" s="19"/>
      <c r="R7" s="20"/>
      <c r="S7" s="18"/>
    </row>
    <row r="8" spans="2:19" ht="21.95" customHeight="1" x14ac:dyDescent="0.3">
      <c r="B8" s="9">
        <v>45880</v>
      </c>
      <c r="C8" s="22" t="s">
        <v>33</v>
      </c>
      <c r="D8" s="10" t="s">
        <v>30</v>
      </c>
      <c r="E8" s="10" t="s">
        <v>19</v>
      </c>
      <c r="F8" s="10" t="s">
        <v>34</v>
      </c>
      <c r="G8" s="12" t="s">
        <v>34</v>
      </c>
      <c r="H8" s="12" t="s">
        <v>35</v>
      </c>
      <c r="I8" s="23" t="s">
        <v>36</v>
      </c>
      <c r="J8" s="10" t="s">
        <v>23</v>
      </c>
      <c r="K8" s="14">
        <v>9836</v>
      </c>
      <c r="L8" s="15" t="s">
        <v>38</v>
      </c>
      <c r="M8" s="24">
        <v>24</v>
      </c>
      <c r="N8" s="17">
        <v>1.85</v>
      </c>
      <c r="O8" s="17">
        <v>0.5</v>
      </c>
      <c r="P8" s="18"/>
      <c r="Q8" s="19"/>
      <c r="R8" s="20"/>
      <c r="S8" s="18"/>
    </row>
    <row r="9" spans="2:19" ht="21.95" customHeight="1" x14ac:dyDescent="0.3">
      <c r="B9" s="9">
        <v>45880</v>
      </c>
      <c r="C9" s="22" t="s">
        <v>33</v>
      </c>
      <c r="D9" s="10" t="s">
        <v>30</v>
      </c>
      <c r="E9" s="10" t="s">
        <v>19</v>
      </c>
      <c r="F9" s="10" t="s">
        <v>34</v>
      </c>
      <c r="G9" s="12" t="s">
        <v>34</v>
      </c>
      <c r="H9" s="12" t="s">
        <v>35</v>
      </c>
      <c r="I9" s="23" t="s">
        <v>36</v>
      </c>
      <c r="J9" s="10" t="s">
        <v>23</v>
      </c>
      <c r="K9" s="14">
        <v>9836</v>
      </c>
      <c r="L9" s="15" t="s">
        <v>38</v>
      </c>
      <c r="M9" s="24">
        <v>36</v>
      </c>
      <c r="N9" s="17">
        <v>1.85</v>
      </c>
      <c r="O9" s="17">
        <v>0.5</v>
      </c>
      <c r="P9" s="18"/>
      <c r="Q9" s="19"/>
      <c r="R9" s="20"/>
      <c r="S9" s="18"/>
    </row>
    <row r="10" spans="2:19" ht="21.95" customHeight="1" x14ac:dyDescent="0.3">
      <c r="B10" s="9">
        <v>45880</v>
      </c>
      <c r="C10" s="22" t="s">
        <v>33</v>
      </c>
      <c r="D10" s="10" t="s">
        <v>30</v>
      </c>
      <c r="E10" s="10" t="s">
        <v>19</v>
      </c>
      <c r="F10" s="10" t="s">
        <v>34</v>
      </c>
      <c r="G10" s="12" t="s">
        <v>34</v>
      </c>
      <c r="H10" s="12" t="s">
        <v>35</v>
      </c>
      <c r="I10" s="23" t="s">
        <v>36</v>
      </c>
      <c r="J10" s="10" t="s">
        <v>23</v>
      </c>
      <c r="K10" s="14">
        <v>9836</v>
      </c>
      <c r="L10" s="15" t="s">
        <v>38</v>
      </c>
      <c r="M10" s="24">
        <v>48</v>
      </c>
      <c r="N10" s="17">
        <v>1.85</v>
      </c>
      <c r="O10" s="17">
        <v>0.5</v>
      </c>
      <c r="P10" s="18"/>
      <c r="Q10" s="19"/>
      <c r="R10" s="20"/>
      <c r="S10" s="18"/>
    </row>
  </sheetData>
  <sheetProtection formatCells="0" formatColumns="0" formatRows="0" insertColumns="0" insertRows="0" selectLockedCells="1" sort="0" autoFilter="0"/>
  <dataValidations count="2">
    <dataValidation allowBlank="1" showInputMessage="1" showErrorMessage="1" sqref="F1:F1048576" xr:uid="{C270EEC2-5E46-4F91-8DD0-F9BC6094D93B}"/>
    <dataValidation type="list" allowBlank="1" showInputMessage="1" showErrorMessage="1" sqref="J2:J6" xr:uid="{D497F7CB-47D1-4239-B2CA-5D6648D26FB7}">
      <formula1>"BRUTO,LIQUIDO"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LUACRED</dc:creator>
  <cp:lastModifiedBy>MARTA LUACRED</cp:lastModifiedBy>
  <dcterms:created xsi:type="dcterms:W3CDTF">2026-04-02T01:26:56Z</dcterms:created>
  <dcterms:modified xsi:type="dcterms:W3CDTF">2026-04-02T01:29:32Z</dcterms:modified>
</cp:coreProperties>
</file>