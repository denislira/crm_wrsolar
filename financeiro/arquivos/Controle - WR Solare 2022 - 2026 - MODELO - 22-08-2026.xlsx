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\\SRVLINK\wr_solare\Gestão\Custos e Despesas\"/>
    </mc:Choice>
  </mc:AlternateContent>
  <xr:revisionPtr revIDLastSave="0" documentId="13_ncr:1_{22207A7C-B85D-42A0-83F6-761D6CBF9D91}" xr6:coauthVersionLast="47" xr6:coauthVersionMax="47" xr10:uidLastSave="{00000000-0000-0000-0000-000000000000}"/>
  <bookViews>
    <workbookView xWindow="-120" yWindow="-120" windowWidth="29040" windowHeight="15720" xr2:uid="{EE20242B-636C-47FC-8F14-0DA408882F6C}"/>
  </bookViews>
  <sheets>
    <sheet name="Controle WR Solare" sheetId="1" r:id="rId1"/>
  </sheets>
  <definedNames>
    <definedName name="_FilterDatabase" localSheetId="0" hidden="1">'Controle WR Solare'!$A$1:$BH$1</definedName>
    <definedName name="_xlnm._FilterDatabase" localSheetId="0" hidden="1">'Controle WR Solare'!$A$1:$BH$56</definedName>
    <definedName name="_Hlk186207914" localSheetId="0">'Controle WR Solare'!$K$5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15" i="1" l="1"/>
  <c r="BD15" i="1"/>
  <c r="BB15" i="1"/>
  <c r="AQ15" i="1"/>
  <c r="AG15" i="1"/>
  <c r="AE15" i="1"/>
  <c r="AH15" i="1" s="1"/>
  <c r="S15" i="1"/>
  <c r="R15" i="1" s="1"/>
  <c r="BE14" i="1"/>
  <c r="BF17" i="1"/>
  <c r="BD17" i="1"/>
  <c r="BB17" i="1"/>
  <c r="AQ17" i="1"/>
  <c r="AG17" i="1"/>
  <c r="AE17" i="1"/>
  <c r="AH17" i="1" s="1"/>
  <c r="S17" i="1"/>
  <c r="AB17" i="1" s="1"/>
  <c r="BF16" i="1"/>
  <c r="BD16" i="1"/>
  <c r="BB16" i="1"/>
  <c r="AQ16" i="1"/>
  <c r="AG16" i="1"/>
  <c r="AE16" i="1"/>
  <c r="AH16" i="1" s="1"/>
  <c r="S16" i="1"/>
  <c r="R16" i="1" s="1"/>
  <c r="BF14" i="1"/>
  <c r="BD14" i="1"/>
  <c r="BB14" i="1"/>
  <c r="AQ14" i="1"/>
  <c r="AG14" i="1"/>
  <c r="AH14" i="1"/>
  <c r="S14" i="1"/>
  <c r="R14" i="1" s="1"/>
  <c r="AB16" i="1" l="1"/>
  <c r="AB15" i="1"/>
  <c r="R17" i="1"/>
  <c r="AB14" i="1"/>
  <c r="BF19" i="1"/>
  <c r="BD19" i="1"/>
  <c r="BB19" i="1"/>
  <c r="AQ19" i="1"/>
  <c r="AG19" i="1"/>
  <c r="AE19" i="1"/>
  <c r="AH19" i="1" s="1"/>
  <c r="S19" i="1"/>
  <c r="AB19" i="1" s="1"/>
  <c r="BF18" i="1"/>
  <c r="BD18" i="1"/>
  <c r="BB18" i="1"/>
  <c r="AQ18" i="1"/>
  <c r="AG18" i="1"/>
  <c r="AE18" i="1"/>
  <c r="AH18" i="1" s="1"/>
  <c r="S18" i="1"/>
  <c r="R18" i="1" s="1"/>
  <c r="BE13" i="1"/>
  <c r="BE12" i="1"/>
  <c r="BF20" i="1"/>
  <c r="BD20" i="1"/>
  <c r="BB20" i="1"/>
  <c r="AQ20" i="1"/>
  <c r="AG20" i="1"/>
  <c r="AE20" i="1"/>
  <c r="AH20" i="1" s="1"/>
  <c r="S20" i="1"/>
  <c r="AB20" i="1" s="1"/>
  <c r="BF13" i="1"/>
  <c r="BD13" i="1"/>
  <c r="BB13" i="1"/>
  <c r="AQ13" i="1"/>
  <c r="AG13" i="1"/>
  <c r="AE13" i="1"/>
  <c r="AH13" i="1" s="1"/>
  <c r="S13" i="1"/>
  <c r="R13" i="1" s="1"/>
  <c r="BF12" i="1"/>
  <c r="BD12" i="1"/>
  <c r="BB12" i="1"/>
  <c r="AQ12" i="1"/>
  <c r="AG12" i="1"/>
  <c r="AE12" i="1"/>
  <c r="AH12" i="1" s="1"/>
  <c r="S12" i="1"/>
  <c r="AB12" i="1" s="1"/>
  <c r="R19" i="1" l="1"/>
  <c r="AB18" i="1"/>
  <c r="AB13" i="1"/>
  <c r="R20" i="1"/>
  <c r="R12" i="1"/>
  <c r="BE11" i="1"/>
  <c r="BF11" i="1"/>
  <c r="BD11" i="1"/>
  <c r="BB11" i="1"/>
  <c r="AQ11" i="1"/>
  <c r="AG11" i="1"/>
  <c r="AE11" i="1"/>
  <c r="AH11" i="1" s="1"/>
  <c r="S11" i="1"/>
  <c r="AB11" i="1" s="1"/>
  <c r="R11" i="1" l="1"/>
  <c r="BE10" i="1" l="1"/>
  <c r="BE9" i="1"/>
  <c r="BF10" i="1"/>
  <c r="BD10" i="1"/>
  <c r="BB10" i="1"/>
  <c r="AQ10" i="1"/>
  <c r="AG10" i="1"/>
  <c r="AE10" i="1"/>
  <c r="AH10" i="1" s="1"/>
  <c r="S10" i="1"/>
  <c r="R10" i="1" s="1"/>
  <c r="BF9" i="1"/>
  <c r="BD9" i="1"/>
  <c r="BB9" i="1"/>
  <c r="AQ9" i="1"/>
  <c r="AG9" i="1"/>
  <c r="AE9" i="1"/>
  <c r="AH9" i="1" s="1"/>
  <c r="S9" i="1"/>
  <c r="AB9" i="1" s="1"/>
  <c r="BE8" i="1"/>
  <c r="AB10" i="1" l="1"/>
  <c r="R9" i="1"/>
  <c r="BE7" i="1"/>
  <c r="BF8" i="1"/>
  <c r="BD8" i="1"/>
  <c r="BB8" i="1"/>
  <c r="AQ8" i="1"/>
  <c r="AG8" i="1"/>
  <c r="AE8" i="1"/>
  <c r="AH8" i="1" s="1"/>
  <c r="S8" i="1"/>
  <c r="R8" i="1" s="1"/>
  <c r="BF7" i="1"/>
  <c r="BD7" i="1"/>
  <c r="BB7" i="1"/>
  <c r="AQ7" i="1"/>
  <c r="AG7" i="1"/>
  <c r="AE7" i="1"/>
  <c r="AH7" i="1" s="1"/>
  <c r="S7" i="1"/>
  <c r="AB7" i="1" s="1"/>
  <c r="AB8" i="1" l="1"/>
  <c r="R7" i="1"/>
  <c r="BE6" i="1"/>
  <c r="BF6" i="1" l="1"/>
  <c r="BD6" i="1"/>
  <c r="BB6" i="1"/>
  <c r="AQ6" i="1"/>
  <c r="AG6" i="1"/>
  <c r="AE6" i="1"/>
  <c r="AH6" i="1" s="1"/>
  <c r="S6" i="1"/>
  <c r="AB6" i="1" s="1"/>
  <c r="R6" i="1" l="1"/>
  <c r="BE5" i="1" l="1"/>
  <c r="BF5" i="1" l="1"/>
  <c r="BD5" i="1"/>
  <c r="BB5" i="1"/>
  <c r="AQ5" i="1"/>
  <c r="AG5" i="1"/>
  <c r="AE5" i="1"/>
  <c r="AH5" i="1" s="1"/>
  <c r="S5" i="1"/>
  <c r="AB5" i="1" s="1"/>
  <c r="R5" i="1" l="1"/>
  <c r="BF4" i="1"/>
  <c r="BE4" i="1"/>
  <c r="BD4" i="1"/>
  <c r="BB4" i="1"/>
  <c r="AQ4" i="1"/>
  <c r="AG4" i="1"/>
  <c r="AE4" i="1"/>
  <c r="AH4" i="1" s="1"/>
  <c r="S4" i="1"/>
  <c r="R4" i="1" s="1"/>
  <c r="BE3" i="1"/>
  <c r="BF3" i="1"/>
  <c r="BD3" i="1"/>
  <c r="BB3" i="1"/>
  <c r="AQ3" i="1"/>
  <c r="AG3" i="1"/>
  <c r="AE3" i="1"/>
  <c r="AH3" i="1" s="1"/>
  <c r="S3" i="1"/>
  <c r="R3" i="1" s="1"/>
  <c r="AB4" i="1" l="1"/>
  <c r="AB3" i="1"/>
  <c r="BE2" i="1" l="1"/>
  <c r="BF2" i="1" l="1"/>
  <c r="BD2" i="1"/>
  <c r="BB2" i="1"/>
  <c r="AQ2" i="1"/>
  <c r="AG2" i="1"/>
  <c r="AE2" i="1"/>
  <c r="AH2" i="1" s="1"/>
  <c r="S2" i="1"/>
  <c r="AB2" i="1" s="1"/>
  <c r="R2" i="1" l="1"/>
</calcChain>
</file>

<file path=xl/sharedStrings.xml><?xml version="1.0" encoding="utf-8"?>
<sst xmlns="http://schemas.openxmlformats.org/spreadsheetml/2006/main" count="373" uniqueCount="234">
  <si>
    <t>DATA NF ENTRADA</t>
  </si>
  <si>
    <t>NF ENTRADA</t>
  </si>
  <si>
    <t>DATA NF SAÍDA</t>
  </si>
  <si>
    <t>FORNECEDOR</t>
  </si>
  <si>
    <t>CLIENTE</t>
  </si>
  <si>
    <t>CPF / CNPJ</t>
  </si>
  <si>
    <t>TELEFONE</t>
  </si>
  <si>
    <t>E-MAIL</t>
  </si>
  <si>
    <t>LOCAL</t>
  </si>
  <si>
    <t>CIDADE</t>
  </si>
  <si>
    <t>LOCALIZAÇÃO FIXA</t>
  </si>
  <si>
    <t>KWH/M</t>
  </si>
  <si>
    <t>KWP</t>
  </si>
  <si>
    <t>PAINÉIS (W)</t>
  </si>
  <si>
    <t>INVERSOR (W)</t>
  </si>
  <si>
    <t>ESTRUTURA</t>
  </si>
  <si>
    <t>ACESSÓRIOS</t>
  </si>
  <si>
    <t>PREÇO (WP)</t>
  </si>
  <si>
    <t>CUSTO (ACESSÓRIOS)</t>
  </si>
  <si>
    <t>CUSTO (KIT)</t>
  </si>
  <si>
    <t>CUSTO TOTAL</t>
  </si>
  <si>
    <t>VALOR VENDA</t>
  </si>
  <si>
    <t>LUCRO BRUTO</t>
  </si>
  <si>
    <t>MARGEM BRUTA</t>
  </si>
  <si>
    <t>FORMA DE PAGAMENTO</t>
  </si>
  <si>
    <t>TIPO DA VENDA</t>
  </si>
  <si>
    <t>DATA DO PEDIDO</t>
  </si>
  <si>
    <t>DIRETA</t>
  </si>
  <si>
    <t>QUANT. PAINÉIS</t>
  </si>
  <si>
    <t>-</t>
  </si>
  <si>
    <t>VALOR PAGO: ESPÉCIE / TRANSFERÊNCIA / PIX</t>
  </si>
  <si>
    <t>VALOR PAGO: BENS</t>
  </si>
  <si>
    <t>VALOR A RECEBER</t>
  </si>
  <si>
    <t>VENDEDOR / INDICADOR</t>
  </si>
  <si>
    <t>COMISSÃO</t>
  </si>
  <si>
    <t>INÍCIO DA INSTALAÇÃO</t>
  </si>
  <si>
    <t>TÉRMINO DA INSTALAÇÃO</t>
  </si>
  <si>
    <t>INÍCIO DA GERAÇÃO</t>
  </si>
  <si>
    <t>LOGIN</t>
  </si>
  <si>
    <t>SENHA</t>
  </si>
  <si>
    <t>DATA DA NEGOCIAÇÃO</t>
  </si>
  <si>
    <t>ENTREGA DO KIT</t>
  </si>
  <si>
    <t>DADOS DO PROJETO</t>
  </si>
  <si>
    <t>SOLICITAÇÃO DE VISTORIA</t>
  </si>
  <si>
    <t>APROVAÇÃO TÉCNICA / PARECER</t>
  </si>
  <si>
    <t>OBSERVAÇÃO</t>
  </si>
  <si>
    <t>1X6</t>
  </si>
  <si>
    <t>CERÂMICA</t>
  </si>
  <si>
    <t>CARACTERÍSTICAS DO KIT</t>
  </si>
  <si>
    <t>MARCA DO INVERSOR</t>
  </si>
  <si>
    <t>GROWATT</t>
  </si>
  <si>
    <t>MARCA DOS PAINÉIS</t>
  </si>
  <si>
    <t>JINKO</t>
  </si>
  <si>
    <t>TIPO DO MONITORAMENTO</t>
  </si>
  <si>
    <t>RODRIGO</t>
  </si>
  <si>
    <t>ARAPIRACA-AL</t>
  </si>
  <si>
    <t>IMÓVEIS ADICIONAIS BENEFICIADOS</t>
  </si>
  <si>
    <t>TAQUARANA-AL</t>
  </si>
  <si>
    <t>WILSON</t>
  </si>
  <si>
    <t>1X8</t>
  </si>
  <si>
    <t>FORTLEV</t>
  </si>
  <si>
    <t>1X10</t>
  </si>
  <si>
    <t>FORMA DA NEGOCIÇÃO</t>
  </si>
  <si>
    <t>WR SOLARE</t>
  </si>
  <si>
    <t>VALOR PAGO: FORNECEDOR - NFE</t>
  </si>
  <si>
    <t>VALOR PAGO: INTEGRADOR - NFS</t>
  </si>
  <si>
    <t>NF SAÍDA - NORMAL</t>
  </si>
  <si>
    <t>MARIBONDO-AL</t>
  </si>
  <si>
    <t>Solare10</t>
  </si>
  <si>
    <t>1X3</t>
  </si>
  <si>
    <t xml:space="preserve">VALOR PAGO: CHEQUES / CARTÃO </t>
  </si>
  <si>
    <t>TEMPO DE EXECUÇÃO</t>
  </si>
  <si>
    <t>BATALHA-AL</t>
  </si>
  <si>
    <t>BELENERGY</t>
  </si>
  <si>
    <t>CARTÃO DE CRÉDITO</t>
  </si>
  <si>
    <t>DATA DE NASCIMENTO / FUNDAÇÃO</t>
  </si>
  <si>
    <t>007.995.098-17</t>
  </si>
  <si>
    <t>TERESA-CONCEICAO3292@HOTMAIL.COM</t>
  </si>
  <si>
    <t>CANCELADO</t>
  </si>
  <si>
    <t>PÃO DE AÇÚCAR-AL</t>
  </si>
  <si>
    <t>PROPULSÃO</t>
  </si>
  <si>
    <t>ERA SOLAR</t>
  </si>
  <si>
    <t>SUNGROW</t>
  </si>
  <si>
    <t>INCLUSO</t>
  </si>
  <si>
    <t>TANQUE D'ARCA-AL</t>
  </si>
  <si>
    <t>PROJETO</t>
  </si>
  <si>
    <t>SOL AGORA</t>
  </si>
  <si>
    <t>BRUNO PRUDENTE / WILSON</t>
  </si>
  <si>
    <t>BAIRRO</t>
  </si>
  <si>
    <t>CENTRO</t>
  </si>
  <si>
    <t>ALTO DO CRUZEIRO</t>
  </si>
  <si>
    <t>ZONA RURAL</t>
  </si>
  <si>
    <t>PRIMAVERA</t>
  </si>
  <si>
    <t>ÚLTIMA MANUTENÇÃO</t>
  </si>
  <si>
    <t>PAI JOÃO</t>
  </si>
  <si>
    <t>JARDIM ESPERANÇA</t>
  </si>
  <si>
    <t>303.392.958-30</t>
  </si>
  <si>
    <t>11 96992-8957</t>
  </si>
  <si>
    <t>ANAMARIA-DJAIR@HOTMAIL.COM</t>
  </si>
  <si>
    <t xml:space="preserve">PV. CABEÇA DANTAS, 110, CHÁCARA SANTANA - BAIRRO ZONA RURAL - TANQUE D’ARCA-AL, CEP.: </t>
  </si>
  <si>
    <t>https://www.google.com/maps/place/9%C2%B035'31.5%22S+36%C2%B026'37.4%22W/@-9.592087,-36.446306,17z/data=!3m1!4b1!4m4!3m3!8m2!3d-9.592087!4d-36.4437311?hl=pt-BR&amp;entry=ttu</t>
  </si>
  <si>
    <t>FINANCIAMENTO WR SOLARE</t>
  </si>
  <si>
    <r>
      <t>6,66KWP - 12X</t>
    </r>
    <r>
      <rPr>
        <b/>
        <sz val="12"/>
        <color rgb="FFFF0000"/>
        <rFont val="Calibri"/>
        <family val="2"/>
        <scheme val="minor"/>
      </rPr>
      <t>555W JINKO</t>
    </r>
    <r>
      <rPr>
        <b/>
        <sz val="12"/>
        <color theme="1"/>
        <rFont val="Calibri"/>
        <family val="2"/>
        <scheme val="minor"/>
      </rPr>
      <t xml:space="preserve"> - 1X6KW - GROWATT - CERÂMICA</t>
    </r>
  </si>
  <si>
    <r>
      <t xml:space="preserve">ANA MARIA DA SILVA MOREIRA - </t>
    </r>
    <r>
      <rPr>
        <b/>
        <sz val="12"/>
        <color rgb="FFFF0000"/>
        <rFont val="Calibri"/>
        <family val="2"/>
        <scheme val="minor"/>
      </rPr>
      <t>WR SOLARE</t>
    </r>
  </si>
  <si>
    <t>PROJETO: 6,54KWP - 12X545W ERA - 1X6KW - GROWATT - CERÂMICA
ALTERADO: 6,66KWP - 12X555W JINKO - 1X6KW - GROWATT - CERÂMICA. 2 PAINÉIS COM AVARIAS - 16/07/2024</t>
  </si>
  <si>
    <t>OC</t>
  </si>
  <si>
    <t>FINANCIAMENTO WR SOLARE - 60X R$534,06 - 1ªPARCELA: 27-08-2024</t>
  </si>
  <si>
    <t>growatt.anamaria</t>
  </si>
  <si>
    <t>FIBROMADEIRA</t>
  </si>
  <si>
    <t>À VISTA</t>
  </si>
  <si>
    <t>483.924.054-04</t>
  </si>
  <si>
    <t>82 99323-5290</t>
  </si>
  <si>
    <t>GONCASBARROS.54@GMAIL.COM</t>
  </si>
  <si>
    <t>RUA CÍCERO C. DE AMORIM, 40 - BAIRRO PRIMAVERA - CACIMBINHAS-AL, CEP.: 57.570-000</t>
  </si>
  <si>
    <t>CACIMBINHAS-AL</t>
  </si>
  <si>
    <t>https://www.google.com/maps/place/9%C2%B024'07.9%22S+36%C2%B059'23.2%22W/@-9.4020733,-36.9899249,20z/data=!4m4!3m3!8m2!3d-9.402193!4d-36.989776?entry=ttu&amp;g_ep=EgoyMDI1MDExNC4wIKXMDSoASAFQAw%3D%3D</t>
  </si>
  <si>
    <t xml:space="preserve">5,85KWP - 10X585W ERA - 1X6KW - GROWATT - FIBROMADEIRA </t>
  </si>
  <si>
    <r>
      <t xml:space="preserve">MANOEL BARROS DE SOUZA - </t>
    </r>
    <r>
      <rPr>
        <b/>
        <sz val="12"/>
        <color rgb="FFFF0000"/>
        <rFont val="Calibri"/>
        <family val="2"/>
        <scheme val="minor"/>
      </rPr>
      <t>SOL AGORA</t>
    </r>
  </si>
  <si>
    <t>CLAUDEMIRA BARBOSA SILVA LEITE</t>
  </si>
  <si>
    <t>030.512.995-37</t>
  </si>
  <si>
    <t>82 98887-5692</t>
  </si>
  <si>
    <t>MIRYALEITTE@HOTMAIL.COM</t>
  </si>
  <si>
    <t>RUA DA AURORA, 133 - BAIRRO CENTRO - BELO MONTE-AL, CEP.: 57.435-000</t>
  </si>
  <si>
    <t>BELO MONTE-AL</t>
  </si>
  <si>
    <t>https://www.google.com/maps/place/R.+da+Aurora,+131,+Belo+Monte+-+AL,+57435-000/@-9.8273569,-37.2785348,19.55z/data=!4m6!3m5!1s0x705f7c0e1d77983:0x7f79a3b9f312faa4!8m2!3d-9.8275654!4d-37.2784719!16s%2Fg%2F11s9wbhkp0?hl=pt-BR&amp;entry=ttu&amp;g_ep=EgoyMDI1MDIxOS4xIKXMDSoASAFQAw%3D%3D</t>
  </si>
  <si>
    <t>ERA BIF</t>
  </si>
  <si>
    <t xml:space="preserve">ASTRONERGY BIF </t>
  </si>
  <si>
    <t xml:space="preserve">814.323.644-72 </t>
  </si>
  <si>
    <t>82 9 9942-9005</t>
  </si>
  <si>
    <t>SANDRA.LUCIA2016@GMAIL.COM</t>
  </si>
  <si>
    <t>RUA SÃO ROQUE, 670 - BAIRRO JARDIM TROPICAL - ARAPIRACA-AL, CEP.: 57316-165</t>
  </si>
  <si>
    <t>https://www.google.com/maps/place/9%C2%B045'41.0%22S+36%C2%B038'37.2%22W/@-9.76138,-36.643665,17z/data=!3m1!4b1!4m4!3m3!8m2!3d-9.76138!4d-36.643665?entry=ttu&amp;g_ep=EgoyMDI1MDMxMC4wIKXMDSoASAFQAw%3D%3D</t>
  </si>
  <si>
    <t>SOLFÁCIL</t>
  </si>
  <si>
    <t>PROJETO: 5,265KWP - 9X585W ERA - 1X6KW - GROWATT - FIBROMADEIRA
ALTERADO: 5,40KWP - 9X600W ASTRONERGY BIF - 1X6KW - GROWATT - FIBROMADEIRA</t>
  </si>
  <si>
    <r>
      <t>5,40KWP - 9X</t>
    </r>
    <r>
      <rPr>
        <b/>
        <sz val="12"/>
        <color rgb="FFFF0000"/>
        <rFont val="Calibri"/>
        <family val="2"/>
        <scheme val="minor"/>
      </rPr>
      <t>600W ASTRONERGY BIF</t>
    </r>
    <r>
      <rPr>
        <b/>
        <sz val="12"/>
        <color theme="1"/>
        <rFont val="Calibri"/>
        <family val="2"/>
        <scheme val="minor"/>
      </rPr>
      <t xml:space="preserve"> - 1X6KW - GROWATT - FIBROMADEIRA</t>
    </r>
  </si>
  <si>
    <t>PROJETO: 6,00KWP - 10X600W ASTROENERGY BIF - 1X6KW - GROWATT - FIBROMADEIRA
ALTERADO: 6,10KWP - 10X610W ERA BIF - 1X6KW - GROWATT - FIBROMADEIRA</t>
  </si>
  <si>
    <r>
      <t>6,10KWP - 10X</t>
    </r>
    <r>
      <rPr>
        <b/>
        <sz val="12"/>
        <color rgb="FFFF0000"/>
        <rFont val="Calibri"/>
        <family val="2"/>
        <scheme val="minor"/>
      </rPr>
      <t>610W ERA BIF</t>
    </r>
    <r>
      <rPr>
        <b/>
        <sz val="12"/>
        <color theme="1"/>
        <rFont val="Calibri"/>
        <family val="2"/>
        <scheme val="minor"/>
      </rPr>
      <t xml:space="preserve"> - 1X6KW - GROWATT - FIBROMADEIRA</t>
    </r>
  </si>
  <si>
    <t>R$12.700,00 – R$2.000,00 DE ENTRADA NA ASSINATURA DO CONTRATO + RESTANTE (R$10.700,00) NO CARTÃO EM ATÉ 18X APÓS APROVAÇÃO DO PROJETO. Recebimento - Claudemira - 2.000,00 - 14-02-2025. Recebimento - Claudemira 12.500,17 - 10.700,00 - 10.725,15 - 21-03-2025</t>
  </si>
  <si>
    <t>SANDRA LÚCIA GOMES DA SILVA - ISABELLE</t>
  </si>
  <si>
    <t>GIRLEIDE DOS SANTOS PEREIRA - DANIELE</t>
  </si>
  <si>
    <t>259.980.214-87</t>
  </si>
  <si>
    <t>82 99667-2921</t>
  </si>
  <si>
    <t>GIGIRLEIDESP@OUTLOOK.COM</t>
  </si>
  <si>
    <t>R. VER. ANTONIO MACHADO GUIMARAES, 225 – BAIRRO CENTRO – PÃO DE AÇÚCAR-AL, CEP.: 57.400-000</t>
  </si>
  <si>
    <t>https://www.google.com/maps/place/9%C2%B044'49.3%22S+37%C2%B026'08.4%22W/@-9.7470407,-37.4359563,20.75z/data=!4m4!3m3!8m2!3d-9.747024!4d-37.435661?entry=ttu&amp;g_ep=EgoyMDI1MDQyMy4wIKXMDSoASAFQAw%3D%3D</t>
  </si>
  <si>
    <t>7,80KWP - 13X600W ASTRONERGY BIF - 1X8KW - GROWATT - FIBROMADEIRA</t>
  </si>
  <si>
    <t>031.249.544-75</t>
  </si>
  <si>
    <t>82 99953-1527</t>
  </si>
  <si>
    <t>LUCIANOGOMES.LG25@GMAIL.COM</t>
  </si>
  <si>
    <t>RUA MANOEL PEREIRA CORREIA, 191 - QD. 0031 - BAIRRO ALTO DO CRUZEIRO - ARAPIRACA-AL, CEP.: 57.312-510</t>
  </si>
  <si>
    <t>https://www.google.com/maps/place/R.+Manoel+Pereira+Corr%C3%AAa,+191+-+Alto+do+Cruzeiro,+Arapiraca+-+AL,+57312-510/@-9.7481225,-36.6525697,19.5z/data=!4m6!3m5!1s0x705d5762d9db433:0xcbf2e2862127c7f8!8m2!3d-9.7478451!4d-36.6519583!16s%2Fg%2F11jsj2qp9v?entry=ttu&amp;g_ep=EgoyMDI1MDQzMC4xIKXMDSoASAFQAw%3D%3D</t>
  </si>
  <si>
    <t>DMEGC BIF</t>
  </si>
  <si>
    <t>CONSÓRCIO</t>
  </si>
  <si>
    <t>Recebimento - SOLAGORA - MANOEL BARROS - 30% - 1.179,10 - 11-02-2025. Recebimento - SOLAGORA - MANOEL BARROS - PAG. 50% 2.131,84 - 11-03-2025. Recebimento - SOLAGORA - MANOEL BARROS - 20% - 852,73 - 02-05-2025</t>
  </si>
  <si>
    <t>097.155.894-99</t>
  </si>
  <si>
    <t>82 99670-9136</t>
  </si>
  <si>
    <t>SANTOSMIGUELALVESDOSSANTOS@GMAIL.COM</t>
  </si>
  <si>
    <t>RUA PROJETADA 05, 26, QUADRA D, CJ. VALE DA PERUCABA - BAIRRO OLHO D’ÁGUA CAZUZINHO - ARAPIRACA-AL, CEP.: 57.300-000</t>
  </si>
  <si>
    <t>OLHO D'ÁGUA DOS CAZUZINHO</t>
  </si>
  <si>
    <t>https://www.google.com/maps/place/9%C2%B046'29.0%22S+36%C2%B040'54.9%22W/@-9.7746531,-36.6820446,20z/data=!4m4!3m3!8m2!3d-9.7747222!4d-36.6819167?entry=ttu&amp;g_ep=EgoyMDI1MDUxMy4xIKXMDSoASAFQAw%3D%3D</t>
  </si>
  <si>
    <t>4,88KWP - 8X610W DMEGC BIF - 1X6KW - GROWATT - FIBROMADEIRA</t>
  </si>
  <si>
    <t>LENY MARIA DOS SANTOS - HUGO</t>
  </si>
  <si>
    <t>092.258.538-58</t>
  </si>
  <si>
    <t>82 99949-4597</t>
  </si>
  <si>
    <t>HUGO-ADV@LIVE.COM</t>
  </si>
  <si>
    <t xml:space="preserve">AV. SEN. ARNON DE MELO, 201 - BAIRRO CENTRO - MARIBONDO-AL, CEP.: 57.670-000 </t>
  </si>
  <si>
    <t>https://www.google.com/maps/place/9%C2%B034'33.0%22S+36%C2%B018'07.1%22W/@-9.5758733,-36.3020437,18.82z/data=!4m4!3m3!8m2!3d-9.575829!4d-36.301958?entry=ttu&amp;g_ep=EgoyMDI1MDUxMy4xIKXMDSoASAFQAw%3D%3D</t>
  </si>
  <si>
    <t>Recebimento - SOLFÁCIL - SANDRA LÚCIA - 50% - 2.948,09 - 16-04-2025. Recebimento - SOLFÁCIL - SANDRA LÚCIA 50% FINAL - 2.948,08 - 20-05-2025</t>
  </si>
  <si>
    <t>MARIA MONICA MOTA DA SILVA</t>
  </si>
  <si>
    <t>039.408.814-06</t>
  </si>
  <si>
    <t>82 98122-2369</t>
  </si>
  <si>
    <t>MARIAMONICAA30@GMAIL.COM</t>
  </si>
  <si>
    <t>RUA BENEDITO TAVARES FOLHA, 43 - BAIRRO CENTRO - BATALHA-AL, CEP.: 57.420-000</t>
  </si>
  <si>
    <t>https://www.google.com/maps/place/9%C2%B040'20.0%22S+37%C2%B007'41.8%22W/@-9.6722224,-37.1283455,19z/data=!4m4!3m3!8m2!3d-9.6722222!4d-37.1282778?entry=ttu&amp;g_ep=EgoyMDI1MDUyOC4wIKXMDSoASAFQAw%3D%3D</t>
  </si>
  <si>
    <t>9,76KWP - 16X610W DMEGC - 1X10KW - GROWATT - FIBROMADEIRA</t>
  </si>
  <si>
    <t>IGREJA NOVA-AL</t>
  </si>
  <si>
    <r>
      <t xml:space="preserve">MIGUEL ALVES DOS SANTOS </t>
    </r>
    <r>
      <rPr>
        <b/>
        <sz val="12"/>
        <color rgb="FFFF0000"/>
        <rFont val="Calibri"/>
        <family val="2"/>
        <scheme val="minor"/>
      </rPr>
      <t>(COMPRADO JUNTO COM O KIT DO LUCIANO)</t>
    </r>
  </si>
  <si>
    <t>10% ASSINATURA – R$1.800,00 - 70% APROVAÇÃO DO PROJETO – R$12.600,00 - 20% NA INSTALAÇÃO – R$3.600,00 .Recebimento - Girleide dos Santos - Daniele 1.800,00 - 30-04-2025. Recebimento - Girleide - Daniele 1.000,00 - 13-06-2025. Recebimento - Girleide - Daniele 2.000,00 - 13-06-2025.  Recebimento - Girleide - Daniele 3.000,00 - 13-06-2025.  Recebimento - Girleide - Daniele 6.600,00 - 13-06-2025</t>
  </si>
  <si>
    <t>PROJETO: 4,88KWP - 8X610W DMEGC BIF - 1X6KW - GROWATT – FIBROMADEIRA
ALTERADO: 4,80KWP - 8X600W ASTRONERGY BIF - 1X6KW - GROWATT - FIBROMADEIRA</t>
  </si>
  <si>
    <r>
      <t>4,80KWP - 8X</t>
    </r>
    <r>
      <rPr>
        <b/>
        <sz val="12"/>
        <color rgb="FFFF0000"/>
        <rFont val="Calibri"/>
        <family val="2"/>
        <scheme val="minor"/>
      </rPr>
      <t>600W ASTRONERGY BIF</t>
    </r>
    <r>
      <rPr>
        <b/>
        <sz val="12"/>
        <color theme="1"/>
        <rFont val="Calibri"/>
        <family val="2"/>
        <scheme val="minor"/>
      </rPr>
      <t xml:space="preserve"> - 1X6KW - GROWATT - FIBROMADEIRA</t>
    </r>
  </si>
  <si>
    <t>PROJETO: 9,76KWP - 16X610 DMEGC BIF - 1X8KW - SUNGROW - FIBROMADEIRA
ALTERADO: 9,60KWP - 16X600 ASTRONERGY BIF - 1X8KW - SUNGROW - FIBROMADEIRA</t>
  </si>
  <si>
    <r>
      <t>9,60KWP - 16X</t>
    </r>
    <r>
      <rPr>
        <b/>
        <sz val="12"/>
        <color rgb="FFFF0000"/>
        <rFont val="Calibri"/>
        <family val="2"/>
        <scheme val="minor"/>
      </rPr>
      <t>600 ASTRONERGY BIF</t>
    </r>
    <r>
      <rPr>
        <b/>
        <sz val="12"/>
        <color theme="1"/>
        <rFont val="Calibri"/>
        <family val="2"/>
        <scheme val="minor"/>
      </rPr>
      <t xml:space="preserve"> - 1X8KW - SUNGROW - FIBROMADEIRA</t>
    </r>
  </si>
  <si>
    <t>Recebimento - Carlos Luciano - Consórcio 20.000,00 - 23-06-2025</t>
  </si>
  <si>
    <t>Recebimento - MIGUEL ALVES DOS SANTOS - 10% -  1.300,00 - 14-05-2025. Recebimento - Miguel Alves 3.000,00 - 12-06-2025. Recebimento - Miguel Alves 3.000,00 - 13-06-2025. Recebimento - Miguel Alves dos Santos 3.100,00 - 16-06-2025. Recebimento - Miguel Alves 2.600,00 - 04-08-2025</t>
  </si>
  <si>
    <t>deca.silva1954@gmail.com</t>
  </si>
  <si>
    <t>031462Xr</t>
  </si>
  <si>
    <t>00/01/1900</t>
  </si>
  <si>
    <r>
      <t xml:space="preserve">CARLOS LUCIANO GOMES JÚNIOR - </t>
    </r>
    <r>
      <rPr>
        <b/>
        <sz val="12"/>
        <color rgb="FFFF0000"/>
        <rFont val="Calibri"/>
        <family val="2"/>
        <scheme val="minor"/>
      </rPr>
      <t>CONSÓRCIO</t>
    </r>
  </si>
  <si>
    <t>STATUS</t>
  </si>
  <si>
    <t>ONLINE</t>
  </si>
  <si>
    <t>Grawatt.manoel</t>
  </si>
  <si>
    <t>growatt.claudemira</t>
  </si>
  <si>
    <t>Growatt.santra</t>
  </si>
  <si>
    <t>PLANO WR SOLARE</t>
  </si>
  <si>
    <t>R$22.000,00 – R$16.000,00 À VISTA (8.000,00 NA ASSINATURA + 8.000,00 NA APROVAÇÃO) + R$6.000,00 EM ATÉ 18X NO CARTÃO (CLIENTE CIENTE QUE TEM JUROS). Recebimento - Mônica - Sandra 3.000,00 - 31-05-2025. Recebimento - Mônica - Sandra 5.000,00 - 31-05-2025. Recebimento - MARIA MÔNICA MOTA DA SILVA 1 - 4.000,00 - 12-07-2025. Recebimento - MARIA MÔNICA MOTA DA SILVA 2 -  4.000,00 - 12-07-2025. Recebimento - Maria Monica Mota Silva 6.000,00 - 06-11-2025</t>
  </si>
  <si>
    <t>056.121.514-62</t>
  </si>
  <si>
    <t>82 98893-1882</t>
  </si>
  <si>
    <t>ROSISIDORO@OUTLOOK.COM</t>
  </si>
  <si>
    <t>RUA 13 DE MAIO, 71 - BAIRRO CENTRO - OLHO D’ÁGUA DO CASADO-AL, CEP.: 57.470-000</t>
  </si>
  <si>
    <t>OLHO D’ÁGUA DO CASADO-AL</t>
  </si>
  <si>
    <t>https://www.google.com/maps/place/9%C2%B030'06.4%22S+37%C2%B050'03.1%22W/@-9.5018317,-37.8343406,21z/data=!4m4!3m3!8m2!3d-9.5017728!4d-37.8341807?entry=ttu&amp;g_ep=EgoyMDI2MDMxNS4wIKXMDSoASAFQAw%3D%3D</t>
  </si>
  <si>
    <t>RONMA BIF</t>
  </si>
  <si>
    <t>047.448.414-90</t>
  </si>
  <si>
    <t>82 99603-0513</t>
  </si>
  <si>
    <t>MIRO@VIBEINTERNET.COM.BR</t>
  </si>
  <si>
    <t>CJ. CARLOS A BRITO BORGES, 100 - BAIRRO ZONA URBANA - IGREJA NOVA-AL, CEP.: 57.280-000</t>
  </si>
  <si>
    <t>https://www.google.com/maps/place/10%C2%B007'44.3%22S+36%C2%B038'53.3%22W/@-10.1289722,-36.6507192,17z/data=!3m1!4b1!4m10!1m5!3m4!2zMTDCsDA3JzQ0LjQiUyAzNsKwMzgnNTMuMCJX!8m2!3d-10.129!4d-36.6480556!3m3!8m2!3d-10.1289722!4d-36.6481389?hl=pt-BR&amp;entry=ttu&amp;g_ep=EgoyMDI2MDQyMi4wIKXMDSoASAFQAw%3D%3D</t>
  </si>
  <si>
    <t>4,235KWP - 7X605W DMEGC BIF. - 1X3KW - HUAWEI - LAJE</t>
  </si>
  <si>
    <t>HUAWEI</t>
  </si>
  <si>
    <t>LAJE</t>
  </si>
  <si>
    <t xml:space="preserve">ANA TELMA DA SILVA PEREIRA LEITE </t>
  </si>
  <si>
    <t>909.153.135-53</t>
  </si>
  <si>
    <t>82 99929-5691</t>
  </si>
  <si>
    <t>ANATELMA1973@HOTMAIL.COM</t>
  </si>
  <si>
    <t>POVOADO</t>
  </si>
  <si>
    <t>https://www.google.com/maps/place/Condom%C3%ADnio+Espelho+da+Lua/@-9.7543642,-37.4182856,17z/data=!4m6!3m5!1s0x70f519e027f2a07:0xb956301bacb39e3e!8m2!3d-9.7543525!4d-37.4183266!16s%2Fg%2F11pcnbz2_2?hl=pt-BR&amp;entry=ttu&amp;g_ep=EgoyMDI2MDQyMi4wIKXMDSoASAFQAw%3D%3D</t>
  </si>
  <si>
    <t>PROJETO: 11,78KWP - 19X620W LEAPTON BIF - 1X10KW - GROWATT - FIBROMADEIRA
ALTERADO: 11,78KWP - 19X620W RONMA BIF - 1X10KW - SUNGROW - FIBROMADEIRA</t>
  </si>
  <si>
    <r>
      <t xml:space="preserve">11,78KWP - 19X620W </t>
    </r>
    <r>
      <rPr>
        <b/>
        <sz val="12"/>
        <color rgb="FFFF0000"/>
        <rFont val="Calibri"/>
        <family val="2"/>
        <scheme val="minor"/>
      </rPr>
      <t>RONMA BIF</t>
    </r>
    <r>
      <rPr>
        <b/>
        <sz val="12"/>
        <color theme="1"/>
        <rFont val="Calibri"/>
        <family val="2"/>
        <scheme val="minor"/>
      </rPr>
      <t xml:space="preserve"> - 1X10KW - </t>
    </r>
    <r>
      <rPr>
        <b/>
        <sz val="12"/>
        <color rgb="FFFF0000"/>
        <rFont val="Calibri"/>
        <family val="2"/>
        <scheme val="minor"/>
      </rPr>
      <t>SUNGROW</t>
    </r>
    <r>
      <rPr>
        <b/>
        <sz val="12"/>
        <color theme="1"/>
        <rFont val="Calibri"/>
        <family val="2"/>
        <scheme val="minor"/>
      </rPr>
      <t xml:space="preserve"> - FIBROMADEIRA</t>
    </r>
  </si>
  <si>
    <r>
      <t xml:space="preserve">ROSEMIRO LÁZARO DOS SANTOS - </t>
    </r>
    <r>
      <rPr>
        <b/>
        <sz val="12"/>
        <color rgb="FFFF0000"/>
        <rFont val="Calibri"/>
        <family val="2"/>
        <scheme val="minor"/>
      </rPr>
      <t>SOMENTE PROJETO</t>
    </r>
  </si>
  <si>
    <t>LT. ESPELHO DA LUA, S/N, LOTE 29, QD. 1, POVOADO - PÃO DE AÇÚCAR-AL, CEP.: 57.400-000</t>
  </si>
  <si>
    <t>PROJETO: 8,12KWP - 14X580W ASTRONERGY BIF - 1X6KW - GROWATT - FIBROMADEIRA
ALTERADO: 8,06KWP - 13X620W RONMA BIF - 1X6KW - GROWATT - FIBROMADEIRA</t>
  </si>
  <si>
    <r>
      <t xml:space="preserve">8,06KWP - </t>
    </r>
    <r>
      <rPr>
        <b/>
        <sz val="12"/>
        <color rgb="FFFF0000"/>
        <rFont val="Calibri"/>
        <family val="2"/>
        <scheme val="minor"/>
      </rPr>
      <t>13X620W RONMA BIF</t>
    </r>
    <r>
      <rPr>
        <b/>
        <sz val="12"/>
        <color theme="1"/>
        <rFont val="Calibri"/>
        <family val="2"/>
        <scheme val="minor"/>
      </rPr>
      <t xml:space="preserve"> - 1X6KW - GROWATT - FIBROMADEIRA</t>
    </r>
  </si>
  <si>
    <t>MARIA TERESA DA CONCEIÇÃO - APENAS - PROJETO 2</t>
  </si>
  <si>
    <t>82 98214-3292 (JOSÉ - ESPOSO) - 82 98154-3005 (LUCAS - FILHO)</t>
  </si>
  <si>
    <t>AL 110, RESIDENCIAL CANA BRAVA - POVOADO PAI JOÃO - BAIRRO ZONA RURAL - TAQUARANA-AL, CEP.: 57.640-000</t>
  </si>
  <si>
    <t>https://www.google.com/maps/place/9%C2%B038'38.1%22S+36%C2%B028'25.4%22W/@-9.6439557,-36.4738383,20z/data=!4m4!3m3!8m2!3d-9.6439266!4d-36.4737282?hl=pt-BR&amp;entry=ttu&amp;g_ep=EgoyMDI2MDUyNy4wIKXMDSoASAFQAw%3D%3D</t>
  </si>
  <si>
    <t xml:space="preserve">4,14KWP - 9X460W BELENERGY 1X3KW - GROWATT - CERÂMICA </t>
  </si>
  <si>
    <t>APENAS PROJETO</t>
  </si>
  <si>
    <t>EXISTENTE</t>
  </si>
  <si>
    <r>
      <t xml:space="preserve">ROSILANE ISIDORO DE OLIVEIRA - </t>
    </r>
    <r>
      <rPr>
        <b/>
        <sz val="12"/>
        <color rgb="FFFF0000"/>
        <rFont val="Calibri"/>
        <family val="2"/>
        <scheme val="minor"/>
      </rPr>
      <t>CONSÓRCIO</t>
    </r>
    <r>
      <rPr>
        <b/>
        <sz val="12"/>
        <color theme="1"/>
        <rFont val="Calibri"/>
        <family val="2"/>
        <scheme val="minor"/>
      </rPr>
      <t xml:space="preserve"> + 6X620W - </t>
    </r>
    <r>
      <rPr>
        <b/>
        <sz val="12"/>
        <color rgb="FFFF0000"/>
        <rFont val="Calibri"/>
        <family val="2"/>
        <scheme val="minor"/>
      </rPr>
      <t>CÉLIA (AUTRAN = LAN) + INVERSOR 3KW - ESTOQUE</t>
    </r>
  </si>
  <si>
    <t>Recebimento - ROSILANE ISIDORO DE OLIVEIRA - 3.344,90 - 3.000,00 - 17-04-2026</t>
  </si>
  <si>
    <t>Recebimento - ROSEMIRO LAZARO DOS SANTOS 1.000,00 - 25-04-2026</t>
  </si>
  <si>
    <t>ENTRADA</t>
  </si>
  <si>
    <t xml:space="preserve">   14/08/2024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</si>
</sst>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&quot;R$&quot;* #,##0.00_);_(&quot;R$&quot;* \(#,##0.00\);_(&quot;R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2" fillId="2" borderId="1" xfId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center" vertical="center"/>
    </xf>
    <xf numFmtId="165" fontId="2" fillId="3" borderId="1" xfId="1" applyFont="1" applyFill="1" applyBorder="1" applyAlignment="1">
      <alignment vertical="center"/>
    </xf>
    <xf numFmtId="10" fontId="2" fillId="3" borderId="1" xfId="2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14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center" vertical="center"/>
    </xf>
    <xf numFmtId="165" fontId="2" fillId="4" borderId="1" xfId="1" applyFont="1" applyFill="1" applyBorder="1" applyAlignment="1">
      <alignment vertical="center"/>
    </xf>
    <xf numFmtId="10" fontId="2" fillId="4" borderId="1" xfId="2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165" fontId="2" fillId="3" borderId="1" xfId="1" applyFont="1" applyFill="1" applyBorder="1" applyAlignment="1">
      <alignment horizontal="center" vertical="center"/>
    </xf>
    <xf numFmtId="165" fontId="2" fillId="4" borderId="1" xfId="1" applyFont="1" applyFill="1" applyBorder="1" applyAlignment="1">
      <alignment horizontal="center" vertical="center"/>
    </xf>
    <xf numFmtId="14" fontId="2" fillId="3" borderId="1" xfId="1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4" fontId="2" fillId="4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5" fontId="3" fillId="4" borderId="1" xfId="1" applyFont="1" applyFill="1" applyBorder="1" applyAlignment="1">
      <alignment horizontal="center" vertical="center"/>
    </xf>
    <xf numFmtId="165" fontId="0" fillId="0" borderId="0" xfId="1" applyFont="1"/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5" fontId="5" fillId="3" borderId="1" xfId="1" applyFont="1" applyFill="1" applyBorder="1" applyAlignment="1">
      <alignment vertical="center"/>
    </xf>
    <xf numFmtId="14" fontId="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5" fillId="4" borderId="1" xfId="1" applyFont="1" applyFill="1" applyBorder="1" applyAlignment="1">
      <alignment vertical="center"/>
    </xf>
    <xf numFmtId="14" fontId="5" fillId="3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 wrapText="1"/>
    </xf>
    <xf numFmtId="165" fontId="5" fillId="3" borderId="1" xfId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vertical="center"/>
    </xf>
    <xf numFmtId="14" fontId="4" fillId="3" borderId="1" xfId="0" applyNumberFormat="1" applyFont="1" applyFill="1" applyBorder="1" applyAlignment="1">
      <alignment vertical="center"/>
    </xf>
    <xf numFmtId="165" fontId="5" fillId="4" borderId="1" xfId="1" applyFont="1" applyFill="1" applyBorder="1" applyAlignment="1">
      <alignment horizontal="center" vertical="center"/>
    </xf>
    <xf numFmtId="165" fontId="2" fillId="5" borderId="1" xfId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5" fontId="2" fillId="7" borderId="1" xfId="1" applyFont="1" applyFill="1" applyBorder="1" applyAlignment="1">
      <alignment vertical="center"/>
    </xf>
    <xf numFmtId="165" fontId="2" fillId="6" borderId="1" xfId="1" applyFont="1" applyFill="1" applyBorder="1" applyAlignment="1">
      <alignment vertical="center"/>
    </xf>
    <xf numFmtId="165" fontId="2" fillId="8" borderId="1" xfId="1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0" fontId="6" fillId="0" borderId="0" xfId="0" applyFont="1" applyAlignment="1">
      <alignment horizontal="left"/>
    </xf>
    <xf numFmtId="0" fontId="6" fillId="0" borderId="0" xfId="0" applyFont="1"/>
    <xf numFmtId="0" fontId="2" fillId="9" borderId="1" xfId="0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C68B-6359-49E6-B5DE-5C305482F1F0}">
  <sheetPr codeName="Planilha1"/>
  <dimension ref="A1:BI56"/>
  <sheetViews>
    <sheetView tabSelected="1" zoomScaleNormal="100" workbookViewId="0">
      <pane ySplit="1" topLeftCell="A2" activePane="bottomLeft" state="frozen"/>
      <selection activeCell="AR1" sqref="AR1"/>
      <selection pane="bottomLeft" activeCell="H17" sqref="H17"/>
    </sheetView>
  </sheetViews>
  <sheetFormatPr defaultRowHeight="15" x14ac:dyDescent="0.25"/>
  <cols>
    <col min="1" max="1" width="14.7109375" customWidth="1"/>
    <col min="2" max="2" width="13" customWidth="1"/>
    <col min="3" max="3" width="15" bestFit="1" customWidth="1"/>
    <col min="4" max="4" width="12.7109375" customWidth="1"/>
    <col min="5" max="5" width="15.28515625" bestFit="1" customWidth="1"/>
    <col min="6" max="6" width="13" customWidth="1"/>
    <col min="7" max="7" width="13.5703125" bestFit="1" customWidth="1"/>
    <col min="8" max="8" width="16.140625" customWidth="1"/>
    <col min="9" max="9" width="56.140625" customWidth="1"/>
    <col min="10" max="10" width="21.42578125" customWidth="1"/>
    <col min="11" max="11" width="16.42578125" style="37" customWidth="1"/>
    <col min="12" max="12" width="16.140625" customWidth="1"/>
    <col min="13" max="13" width="14" customWidth="1"/>
    <col min="14" max="14" width="104.140625" customWidth="1"/>
    <col min="15" max="15" width="30.42578125" bestFit="1" customWidth="1"/>
    <col min="16" max="16" width="28.28515625" bestFit="1" customWidth="1"/>
    <col min="17" max="17" width="11.28515625" customWidth="1"/>
    <col min="18" max="18" width="9.7109375" bestFit="1" customWidth="1"/>
    <col min="19" max="19" width="8.85546875" customWidth="1"/>
    <col min="20" max="20" width="73.28515625" customWidth="1"/>
    <col min="21" max="21" width="12.85546875" bestFit="1" customWidth="1"/>
    <col min="22" max="22" width="12.7109375" bestFit="1" customWidth="1"/>
    <col min="23" max="23" width="27.7109375" bestFit="1" customWidth="1"/>
    <col min="24" max="24" width="14.85546875" bestFit="1" customWidth="1"/>
    <col min="25" max="25" width="16" bestFit="1" customWidth="1"/>
    <col min="26" max="26" width="16.85546875" bestFit="1" customWidth="1"/>
    <col min="27" max="27" width="22.7109375" bestFit="1" customWidth="1"/>
    <col min="28" max="28" width="11.7109375" bestFit="1" customWidth="1"/>
    <col min="29" max="29" width="18.42578125" bestFit="1" customWidth="1"/>
    <col min="30" max="30" width="17.140625" style="29" bestFit="1" customWidth="1"/>
    <col min="31" max="31" width="18.42578125" bestFit="1" customWidth="1"/>
    <col min="32" max="32" width="18.7109375" customWidth="1"/>
    <col min="33" max="33" width="15.28515625" style="29" customWidth="1"/>
    <col min="34" max="34" width="14.28515625" bestFit="1" customWidth="1"/>
    <col min="35" max="35" width="28" customWidth="1"/>
    <col min="36" max="36" width="31" style="27" customWidth="1"/>
    <col min="37" max="37" width="25" customWidth="1"/>
    <col min="38" max="38" width="27.5703125" style="29" bestFit="1" customWidth="1"/>
    <col min="39" max="39" width="23.85546875" bestFit="1" customWidth="1"/>
    <col min="40" max="40" width="23.28515625" bestFit="1" customWidth="1"/>
    <col min="41" max="41" width="24.42578125" bestFit="1" customWidth="1"/>
    <col min="42" max="42" width="18.7109375" bestFit="1" customWidth="1"/>
    <col min="43" max="43" width="20" customWidth="1"/>
    <col min="44" max="44" width="34.140625" bestFit="1" customWidth="1"/>
    <col min="45" max="45" width="25" style="29" bestFit="1" customWidth="1"/>
    <col min="46" max="46" width="25.28515625" bestFit="1" customWidth="1"/>
    <col min="47" max="47" width="13" customWidth="1"/>
    <col min="48" max="48" width="17.85546875" bestFit="1" customWidth="1"/>
    <col min="49" max="49" width="21.140625" customWidth="1"/>
    <col min="50" max="50" width="19.42578125" bestFit="1" customWidth="1"/>
    <col min="51" max="51" width="19" bestFit="1" customWidth="1"/>
    <col min="52" max="52" width="19.42578125" bestFit="1" customWidth="1"/>
    <col min="53" max="53" width="16.42578125" bestFit="1" customWidth="1"/>
    <col min="54" max="54" width="14.28515625" customWidth="1"/>
    <col min="55" max="55" width="16.7109375" customWidth="1"/>
    <col min="56" max="56" width="19.7109375" customWidth="1"/>
    <col min="57" max="57" width="54.5703125" customWidth="1"/>
    <col min="58" max="58" width="32.28515625" customWidth="1"/>
    <col min="59" max="59" width="60" style="63" customWidth="1"/>
    <col min="60" max="60" width="18.5703125" style="64" customWidth="1"/>
    <col min="61" max="61" width="12.140625" style="64" bestFit="1" customWidth="1"/>
  </cols>
  <sheetData>
    <row r="1" spans="1:61" s="1" customFormat="1" ht="40.9" customHeight="1" x14ac:dyDescent="0.25">
      <c r="A1" s="1" t="s">
        <v>40</v>
      </c>
      <c r="B1" s="1" t="s">
        <v>26</v>
      </c>
      <c r="C1" s="1" t="s">
        <v>0</v>
      </c>
      <c r="D1" s="1" t="s">
        <v>1</v>
      </c>
      <c r="E1" s="1" t="s">
        <v>66</v>
      </c>
      <c r="F1" s="1" t="s">
        <v>2</v>
      </c>
      <c r="G1" s="1" t="s">
        <v>25</v>
      </c>
      <c r="H1" s="1" t="s">
        <v>3</v>
      </c>
      <c r="I1" s="1" t="s">
        <v>4</v>
      </c>
      <c r="J1" s="1" t="s">
        <v>5</v>
      </c>
      <c r="K1" s="1" t="s">
        <v>75</v>
      </c>
      <c r="L1" s="1" t="s">
        <v>6</v>
      </c>
      <c r="M1" s="1" t="s">
        <v>7</v>
      </c>
      <c r="N1" s="1" t="s">
        <v>8</v>
      </c>
      <c r="O1" s="1" t="s">
        <v>88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48</v>
      </c>
      <c r="U1" s="1" t="s">
        <v>28</v>
      </c>
      <c r="V1" s="1" t="s">
        <v>13</v>
      </c>
      <c r="W1" s="1" t="s">
        <v>51</v>
      </c>
      <c r="X1" s="1" t="s">
        <v>14</v>
      </c>
      <c r="Y1" s="1" t="s">
        <v>49</v>
      </c>
      <c r="Z1" s="1" t="s">
        <v>15</v>
      </c>
      <c r="AA1" s="1" t="s">
        <v>16</v>
      </c>
      <c r="AB1" s="1" t="s">
        <v>17</v>
      </c>
      <c r="AC1" s="1" t="s">
        <v>18</v>
      </c>
      <c r="AD1" s="2" t="s">
        <v>19</v>
      </c>
      <c r="AE1" s="1" t="s">
        <v>20</v>
      </c>
      <c r="AF1" s="2" t="s">
        <v>21</v>
      </c>
      <c r="AG1" s="2" t="s">
        <v>22</v>
      </c>
      <c r="AH1" s="1" t="s">
        <v>23</v>
      </c>
      <c r="AI1" s="1" t="s">
        <v>45</v>
      </c>
      <c r="AJ1" s="1" t="s">
        <v>24</v>
      </c>
      <c r="AK1" s="1" t="s">
        <v>62</v>
      </c>
      <c r="AL1" s="2" t="s">
        <v>30</v>
      </c>
      <c r="AM1" s="1" t="s">
        <v>64</v>
      </c>
      <c r="AN1" s="1" t="s">
        <v>65</v>
      </c>
      <c r="AO1" s="1" t="s">
        <v>70</v>
      </c>
      <c r="AP1" s="1" t="s">
        <v>31</v>
      </c>
      <c r="AQ1" s="2" t="s">
        <v>32</v>
      </c>
      <c r="AR1" s="1" t="s">
        <v>33</v>
      </c>
      <c r="AS1" s="2" t="s">
        <v>34</v>
      </c>
      <c r="AT1" s="1" t="s">
        <v>56</v>
      </c>
      <c r="AU1" s="1" t="s">
        <v>42</v>
      </c>
      <c r="AV1" s="1" t="s">
        <v>41</v>
      </c>
      <c r="AW1" s="1" t="s">
        <v>44</v>
      </c>
      <c r="AX1" s="1" t="s">
        <v>43</v>
      </c>
      <c r="AY1" s="1" t="s">
        <v>35</v>
      </c>
      <c r="AZ1" s="1" t="s">
        <v>36</v>
      </c>
      <c r="BA1" s="1" t="s">
        <v>37</v>
      </c>
      <c r="BB1" s="1" t="s">
        <v>71</v>
      </c>
      <c r="BC1" s="1" t="s">
        <v>93</v>
      </c>
      <c r="BD1" s="1" t="s">
        <v>53</v>
      </c>
      <c r="BE1" s="1" t="s">
        <v>4</v>
      </c>
      <c r="BF1" s="1" t="s">
        <v>6</v>
      </c>
      <c r="BG1" s="60" t="s">
        <v>38</v>
      </c>
      <c r="BH1" s="60" t="s">
        <v>39</v>
      </c>
      <c r="BI1" s="60" t="s">
        <v>188</v>
      </c>
    </row>
    <row r="2" spans="1:61" s="11" customFormat="1" ht="24.95" customHeight="1" x14ac:dyDescent="0.25">
      <c r="A2" s="66">
        <v>45439</v>
      </c>
      <c r="B2" s="3">
        <v>45470</v>
      </c>
      <c r="C2" s="39" t="s">
        <v>233</v>
      </c>
      <c r="D2" s="35">
        <v>124951</v>
      </c>
      <c r="E2" s="67">
        <v>134935</v>
      </c>
      <c r="F2" s="5">
        <v>45558</v>
      </c>
      <c r="G2" s="5" t="s">
        <v>232</v>
      </c>
      <c r="H2" s="6" t="s">
        <v>60</v>
      </c>
      <c r="I2" s="4" t="s">
        <v>103</v>
      </c>
      <c r="J2" s="4" t="s">
        <v>96</v>
      </c>
      <c r="K2" s="5">
        <v>25380</v>
      </c>
      <c r="L2" s="7" t="s">
        <v>97</v>
      </c>
      <c r="M2" s="7" t="s">
        <v>98</v>
      </c>
      <c r="N2" s="4" t="s">
        <v>99</v>
      </c>
      <c r="O2" s="4" t="s">
        <v>91</v>
      </c>
      <c r="P2" s="4" t="s">
        <v>84</v>
      </c>
      <c r="Q2" s="4" t="s">
        <v>100</v>
      </c>
      <c r="R2" s="8">
        <f t="shared" ref="R2" si="0">S2/8*1000</f>
        <v>832.5</v>
      </c>
      <c r="S2" s="24">
        <f t="shared" ref="S2" si="1">U2*V2/1000</f>
        <v>6.66</v>
      </c>
      <c r="T2" s="4" t="s">
        <v>102</v>
      </c>
      <c r="U2" s="6">
        <v>12</v>
      </c>
      <c r="V2" s="31">
        <v>555</v>
      </c>
      <c r="W2" s="31" t="s">
        <v>52</v>
      </c>
      <c r="X2" s="6" t="s">
        <v>46</v>
      </c>
      <c r="Y2" s="6" t="s">
        <v>50</v>
      </c>
      <c r="Z2" s="4" t="s">
        <v>47</v>
      </c>
      <c r="AA2" s="6" t="s">
        <v>29</v>
      </c>
      <c r="AB2" s="9">
        <f t="shared" ref="AB2" si="2">AD2/S2/1000</f>
        <v>1.4294144144144143</v>
      </c>
      <c r="AC2" s="9">
        <v>0</v>
      </c>
      <c r="AD2" s="9">
        <v>9519.9</v>
      </c>
      <c r="AE2" s="9">
        <f t="shared" ref="AE2" si="3">AC2+AD2</f>
        <v>9519.9</v>
      </c>
      <c r="AF2" s="9">
        <v>15033.28</v>
      </c>
      <c r="AG2" s="9">
        <f t="shared" ref="AG2" si="4">AF2-AD2</f>
        <v>5513.380000000001</v>
      </c>
      <c r="AH2" s="19">
        <f t="shared" ref="AH2" si="5">(AF2/AE2)-100%</f>
        <v>0.57914263805292077</v>
      </c>
      <c r="AI2" s="50" t="s">
        <v>104</v>
      </c>
      <c r="AJ2" s="7" t="s">
        <v>106</v>
      </c>
      <c r="AK2" s="9" t="s">
        <v>101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47">
        <f t="shared" ref="AQ2" si="6">AF2-AL2-AO2-AP2</f>
        <v>15033.28</v>
      </c>
      <c r="AR2" s="4" t="s">
        <v>80</v>
      </c>
      <c r="AS2" s="21">
        <v>0</v>
      </c>
      <c r="AT2" s="6">
        <v>1</v>
      </c>
      <c r="AU2" s="5">
        <v>45446</v>
      </c>
      <c r="AV2" s="23">
        <v>45489</v>
      </c>
      <c r="AW2" s="5">
        <v>45461</v>
      </c>
      <c r="AX2" s="5">
        <v>45520</v>
      </c>
      <c r="AY2" s="5">
        <v>45518</v>
      </c>
      <c r="AZ2" s="5">
        <v>45518</v>
      </c>
      <c r="BA2" s="5">
        <v>45528</v>
      </c>
      <c r="BB2" s="6">
        <f t="shared" ref="BB2" si="7">BA2-AU2</f>
        <v>82</v>
      </c>
      <c r="BC2" s="6"/>
      <c r="BD2" s="6" t="str">
        <f t="shared" ref="BD2" si="8">Y2</f>
        <v>GROWATT</v>
      </c>
      <c r="BE2" s="7" t="str">
        <f t="shared" ref="BE2" si="9">I2</f>
        <v>ANA MARIA DA SILVA MOREIRA - WR SOLARE</v>
      </c>
      <c r="BF2" s="7" t="str">
        <f t="shared" ref="BF2" si="10">L2</f>
        <v>11 96992-8957</v>
      </c>
      <c r="BG2" s="41" t="s">
        <v>107</v>
      </c>
      <c r="BH2" s="35" t="s">
        <v>68</v>
      </c>
      <c r="BI2" s="35" t="s">
        <v>189</v>
      </c>
    </row>
    <row r="3" spans="1:61" s="20" customFormat="1" ht="24.95" customHeight="1" x14ac:dyDescent="0.25">
      <c r="A3" s="66">
        <v>45673</v>
      </c>
      <c r="B3" s="12">
        <v>45686</v>
      </c>
      <c r="C3" s="40">
        <v>45715</v>
      </c>
      <c r="D3" s="32">
        <v>136161</v>
      </c>
      <c r="E3" s="15" t="s">
        <v>29</v>
      </c>
      <c r="F3" s="14" t="s">
        <v>29</v>
      </c>
      <c r="G3" s="14" t="s">
        <v>27</v>
      </c>
      <c r="H3" s="15" t="s">
        <v>60</v>
      </c>
      <c r="I3" s="13" t="s">
        <v>117</v>
      </c>
      <c r="J3" s="13" t="s">
        <v>110</v>
      </c>
      <c r="K3" s="14">
        <v>24482</v>
      </c>
      <c r="L3" s="16" t="s">
        <v>111</v>
      </c>
      <c r="M3" s="16" t="s">
        <v>112</v>
      </c>
      <c r="N3" s="13" t="s">
        <v>113</v>
      </c>
      <c r="O3" s="13" t="s">
        <v>92</v>
      </c>
      <c r="P3" s="13" t="s">
        <v>114</v>
      </c>
      <c r="Q3" s="13" t="s">
        <v>115</v>
      </c>
      <c r="R3" s="17">
        <f t="shared" ref="R3" si="11">S3/8*1000</f>
        <v>731.25</v>
      </c>
      <c r="S3" s="25">
        <f t="shared" ref="S3" si="12">U3*V3/1000</f>
        <v>5.85</v>
      </c>
      <c r="T3" s="49" t="s">
        <v>116</v>
      </c>
      <c r="U3" s="15">
        <v>10</v>
      </c>
      <c r="V3" s="15">
        <v>585</v>
      </c>
      <c r="W3" s="15" t="s">
        <v>81</v>
      </c>
      <c r="X3" s="15" t="s">
        <v>46</v>
      </c>
      <c r="Y3" s="15" t="s">
        <v>50</v>
      </c>
      <c r="Z3" s="13" t="s">
        <v>108</v>
      </c>
      <c r="AA3" s="15" t="s">
        <v>29</v>
      </c>
      <c r="AB3" s="18">
        <f t="shared" ref="AB3" si="13">AD3/S3/1000</f>
        <v>1.4933897435897436</v>
      </c>
      <c r="AC3" s="18">
        <v>0</v>
      </c>
      <c r="AD3" s="18">
        <v>8736.33</v>
      </c>
      <c r="AE3" s="18">
        <f t="shared" ref="AE3" si="14">AC3+AD3</f>
        <v>8736.33</v>
      </c>
      <c r="AF3" s="18">
        <v>13000</v>
      </c>
      <c r="AG3" s="18">
        <f t="shared" ref="AG3" si="15">AF3-AD3</f>
        <v>4263.67</v>
      </c>
      <c r="AH3" s="10">
        <f t="shared" ref="AH3:AH5" si="16">(AF3/AE3)-100%</f>
        <v>0.48803902782976372</v>
      </c>
      <c r="AI3" s="13" t="s">
        <v>29</v>
      </c>
      <c r="AJ3" s="16" t="s">
        <v>153</v>
      </c>
      <c r="AK3" s="18" t="s">
        <v>86</v>
      </c>
      <c r="AL3" s="18">
        <v>13000</v>
      </c>
      <c r="AM3" s="18">
        <v>8736.33</v>
      </c>
      <c r="AN3" s="18">
        <v>3310.94</v>
      </c>
      <c r="AO3" s="18">
        <v>0</v>
      </c>
      <c r="AP3" s="18">
        <v>0</v>
      </c>
      <c r="AQ3" s="18">
        <f t="shared" ref="AQ3" si="17">AF3-AL3-AO3-AP3</f>
        <v>0</v>
      </c>
      <c r="AR3" s="13"/>
      <c r="AS3" s="22">
        <v>0</v>
      </c>
      <c r="AT3" s="15">
        <v>1</v>
      </c>
      <c r="AU3" s="14">
        <v>45677</v>
      </c>
      <c r="AV3" s="26"/>
      <c r="AW3" s="14">
        <v>45686</v>
      </c>
      <c r="AX3" s="14">
        <v>45740</v>
      </c>
      <c r="AY3" s="14">
        <v>45736</v>
      </c>
      <c r="AZ3" s="14">
        <v>45736</v>
      </c>
      <c r="BA3" s="14">
        <v>45772</v>
      </c>
      <c r="BB3" s="15">
        <f t="shared" ref="BB3" si="18">BA3-AU3</f>
        <v>95</v>
      </c>
      <c r="BC3" s="15"/>
      <c r="BD3" s="15" t="str">
        <f t="shared" ref="BD3" si="19">Y3</f>
        <v>GROWATT</v>
      </c>
      <c r="BE3" s="16" t="str">
        <f t="shared" ref="BE3:BE5" si="20">I3</f>
        <v>MANOEL BARROS DE SOUZA - SOL AGORA</v>
      </c>
      <c r="BF3" s="16" t="str">
        <f t="shared" ref="BF3" si="21">L3</f>
        <v>82 99323-5290</v>
      </c>
      <c r="BG3" s="38" t="s">
        <v>190</v>
      </c>
      <c r="BH3" s="38" t="s">
        <v>68</v>
      </c>
      <c r="BI3" s="46" t="s">
        <v>189</v>
      </c>
    </row>
    <row r="4" spans="1:61" s="11" customFormat="1" ht="24.95" customHeight="1" x14ac:dyDescent="0.25">
      <c r="A4" s="66">
        <v>45702</v>
      </c>
      <c r="B4" s="3">
        <v>45735</v>
      </c>
      <c r="C4" s="39">
        <v>45743</v>
      </c>
      <c r="D4" s="35">
        <v>141297</v>
      </c>
      <c r="E4" s="6" t="s">
        <v>29</v>
      </c>
      <c r="F4" s="5" t="s">
        <v>29</v>
      </c>
      <c r="G4" s="5" t="s">
        <v>27</v>
      </c>
      <c r="H4" s="6" t="s">
        <v>60</v>
      </c>
      <c r="I4" s="4" t="s">
        <v>118</v>
      </c>
      <c r="J4" s="4" t="s">
        <v>119</v>
      </c>
      <c r="K4" s="5">
        <v>30205</v>
      </c>
      <c r="L4" s="7" t="s">
        <v>120</v>
      </c>
      <c r="M4" s="7" t="s">
        <v>121</v>
      </c>
      <c r="N4" s="4" t="s">
        <v>122</v>
      </c>
      <c r="O4" s="4" t="s">
        <v>89</v>
      </c>
      <c r="P4" s="4" t="s">
        <v>123</v>
      </c>
      <c r="Q4" s="4" t="s">
        <v>124</v>
      </c>
      <c r="R4" s="8">
        <f t="shared" ref="R4" si="22">S4/8*1000</f>
        <v>675</v>
      </c>
      <c r="S4" s="24">
        <f t="shared" ref="S4" si="23">U4*V4/1000</f>
        <v>5.4</v>
      </c>
      <c r="T4" s="4" t="s">
        <v>134</v>
      </c>
      <c r="U4" s="6">
        <v>9</v>
      </c>
      <c r="V4" s="31">
        <v>600</v>
      </c>
      <c r="W4" s="31" t="s">
        <v>126</v>
      </c>
      <c r="X4" s="6" t="s">
        <v>46</v>
      </c>
      <c r="Y4" s="6" t="s">
        <v>50</v>
      </c>
      <c r="Z4" s="4" t="s">
        <v>108</v>
      </c>
      <c r="AA4" s="6" t="s">
        <v>29</v>
      </c>
      <c r="AB4" s="9">
        <f t="shared" ref="AB4" si="24">AD4/S4/1000</f>
        <v>1.4459425925925926</v>
      </c>
      <c r="AC4" s="9">
        <v>0</v>
      </c>
      <c r="AD4" s="9">
        <v>7808.09</v>
      </c>
      <c r="AE4" s="9">
        <f t="shared" ref="AE4" si="25">AC4+AD4</f>
        <v>7808.09</v>
      </c>
      <c r="AF4" s="9">
        <v>12700</v>
      </c>
      <c r="AG4" s="9">
        <f t="shared" ref="AG4" si="26">AF4-AD4</f>
        <v>4891.91</v>
      </c>
      <c r="AH4" s="19">
        <f t="shared" si="16"/>
        <v>0.62651813695795</v>
      </c>
      <c r="AI4" s="50" t="s">
        <v>133</v>
      </c>
      <c r="AJ4" s="7" t="s">
        <v>137</v>
      </c>
      <c r="AK4" s="9" t="s">
        <v>74</v>
      </c>
      <c r="AL4" s="9">
        <v>12700</v>
      </c>
      <c r="AM4" s="9">
        <v>0</v>
      </c>
      <c r="AN4" s="9">
        <v>0</v>
      </c>
      <c r="AO4" s="9">
        <v>0</v>
      </c>
      <c r="AP4" s="9">
        <v>0</v>
      </c>
      <c r="AQ4" s="9">
        <f t="shared" ref="AQ4" si="27">AF4-AL4-AO4-AP4</f>
        <v>0</v>
      </c>
      <c r="AR4" s="4" t="s">
        <v>105</v>
      </c>
      <c r="AS4" s="21">
        <v>0</v>
      </c>
      <c r="AT4" s="6">
        <v>1</v>
      </c>
      <c r="AU4" s="5">
        <v>45710</v>
      </c>
      <c r="AV4" s="23">
        <v>45744</v>
      </c>
      <c r="AW4" s="5">
        <v>45734</v>
      </c>
      <c r="AX4" s="5">
        <v>45773</v>
      </c>
      <c r="AY4" s="5">
        <v>45771</v>
      </c>
      <c r="AZ4" s="5">
        <v>45771</v>
      </c>
      <c r="BA4" s="5">
        <v>45777</v>
      </c>
      <c r="BB4" s="6">
        <f t="shared" ref="BB4" si="28">BA4-AU4</f>
        <v>67</v>
      </c>
      <c r="BC4" s="6"/>
      <c r="BD4" s="6" t="str">
        <f t="shared" ref="BD4" si="29">Y4</f>
        <v>GROWATT</v>
      </c>
      <c r="BE4" s="7" t="str">
        <f t="shared" si="20"/>
        <v>CLAUDEMIRA BARBOSA SILVA LEITE</v>
      </c>
      <c r="BF4" s="7" t="str">
        <f t="shared" ref="BF4" si="30">L4</f>
        <v>82 98887-5692</v>
      </c>
      <c r="BG4" s="33" t="s">
        <v>191</v>
      </c>
      <c r="BH4" s="33" t="s">
        <v>68</v>
      </c>
      <c r="BI4" s="43" t="s">
        <v>189</v>
      </c>
    </row>
    <row r="5" spans="1:61" s="11" customFormat="1" ht="24.95" customHeight="1" x14ac:dyDescent="0.25">
      <c r="A5" s="66">
        <v>45728</v>
      </c>
      <c r="B5" s="3">
        <v>45762</v>
      </c>
      <c r="C5" s="39"/>
      <c r="D5" s="35"/>
      <c r="E5" s="6" t="s">
        <v>29</v>
      </c>
      <c r="F5" s="5" t="s">
        <v>29</v>
      </c>
      <c r="G5" s="5" t="s">
        <v>27</v>
      </c>
      <c r="H5" s="6" t="s">
        <v>60</v>
      </c>
      <c r="I5" s="4" t="s">
        <v>138</v>
      </c>
      <c r="J5" s="4" t="s">
        <v>127</v>
      </c>
      <c r="K5" s="5">
        <v>25080</v>
      </c>
      <c r="L5" s="7" t="s">
        <v>128</v>
      </c>
      <c r="M5" s="7" t="s">
        <v>129</v>
      </c>
      <c r="N5" s="4" t="s">
        <v>130</v>
      </c>
      <c r="O5" s="4" t="s">
        <v>95</v>
      </c>
      <c r="P5" s="4" t="s">
        <v>55</v>
      </c>
      <c r="Q5" s="4" t="s">
        <v>131</v>
      </c>
      <c r="R5" s="8">
        <f t="shared" ref="R5" si="31">S5/8*1000</f>
        <v>762.5</v>
      </c>
      <c r="S5" s="24">
        <f t="shared" ref="S5" si="32">U5*V5/1000</f>
        <v>6.1</v>
      </c>
      <c r="T5" s="4" t="s">
        <v>136</v>
      </c>
      <c r="U5" s="6">
        <v>10</v>
      </c>
      <c r="V5" s="31">
        <v>610</v>
      </c>
      <c r="W5" s="31" t="s">
        <v>125</v>
      </c>
      <c r="X5" s="6" t="s">
        <v>46</v>
      </c>
      <c r="Y5" s="6" t="s">
        <v>50</v>
      </c>
      <c r="Z5" s="4" t="s">
        <v>108</v>
      </c>
      <c r="AA5" s="6" t="s">
        <v>29</v>
      </c>
      <c r="AB5" s="9">
        <f t="shared" ref="AB5" si="33">AD5/S5/1000</f>
        <v>1.4081262295081967</v>
      </c>
      <c r="AC5" s="9">
        <v>0</v>
      </c>
      <c r="AD5" s="9">
        <v>8589.57</v>
      </c>
      <c r="AE5" s="9">
        <f t="shared" ref="AE5" si="34">AC5+AD5</f>
        <v>8589.57</v>
      </c>
      <c r="AF5" s="9">
        <v>14485.74</v>
      </c>
      <c r="AG5" s="9">
        <f t="shared" ref="AG5" si="35">AF5-AD5</f>
        <v>5896.17</v>
      </c>
      <c r="AH5" s="19">
        <f t="shared" si="16"/>
        <v>0.68643366315193899</v>
      </c>
      <c r="AI5" s="50" t="s">
        <v>135</v>
      </c>
      <c r="AJ5" s="7" t="s">
        <v>167</v>
      </c>
      <c r="AK5" s="9" t="s">
        <v>132</v>
      </c>
      <c r="AL5" s="9">
        <v>14485.74</v>
      </c>
      <c r="AM5" s="9">
        <v>8589.57</v>
      </c>
      <c r="AN5" s="9">
        <v>5896.17</v>
      </c>
      <c r="AO5" s="9">
        <v>0</v>
      </c>
      <c r="AP5" s="9">
        <v>0</v>
      </c>
      <c r="AQ5" s="9">
        <f t="shared" ref="AQ5" si="36">AF5-AL5-AO5-AP5</f>
        <v>0</v>
      </c>
      <c r="AR5" s="4" t="s">
        <v>105</v>
      </c>
      <c r="AS5" s="21">
        <v>0</v>
      </c>
      <c r="AT5" s="6">
        <v>0</v>
      </c>
      <c r="AU5" s="5">
        <v>45732</v>
      </c>
      <c r="AV5" s="23">
        <v>45777</v>
      </c>
      <c r="AW5" s="5">
        <v>45761</v>
      </c>
      <c r="AX5" s="5">
        <v>45805</v>
      </c>
      <c r="AY5" s="5">
        <v>45796</v>
      </c>
      <c r="AZ5" s="5">
        <v>45797</v>
      </c>
      <c r="BA5" s="5">
        <v>45806</v>
      </c>
      <c r="BB5" s="6">
        <f t="shared" ref="BB5" si="37">BA5-AU5</f>
        <v>74</v>
      </c>
      <c r="BC5" s="6"/>
      <c r="BD5" s="6" t="str">
        <f t="shared" ref="BD5" si="38">Y5</f>
        <v>GROWATT</v>
      </c>
      <c r="BE5" s="52" t="str">
        <f t="shared" si="20"/>
        <v>SANDRA LÚCIA GOMES DA SILVA - ISABELLE</v>
      </c>
      <c r="BF5" s="7" t="str">
        <f t="shared" ref="BF5" si="39">L5</f>
        <v>82 9 9942-9005</v>
      </c>
      <c r="BG5" s="33" t="s">
        <v>192</v>
      </c>
      <c r="BH5" s="33" t="s">
        <v>68</v>
      </c>
      <c r="BI5" s="43" t="s">
        <v>189</v>
      </c>
    </row>
    <row r="6" spans="1:61" s="11" customFormat="1" ht="24.95" customHeight="1" x14ac:dyDescent="0.25">
      <c r="A6" s="66">
        <v>45776</v>
      </c>
      <c r="B6" s="3">
        <v>45821</v>
      </c>
      <c r="C6" s="5"/>
      <c r="D6" s="6"/>
      <c r="E6" s="6" t="s">
        <v>29</v>
      </c>
      <c r="F6" s="5" t="s">
        <v>29</v>
      </c>
      <c r="G6" s="5" t="s">
        <v>27</v>
      </c>
      <c r="H6" s="65" t="s">
        <v>60</v>
      </c>
      <c r="I6" s="4" t="s">
        <v>139</v>
      </c>
      <c r="J6" s="4" t="s">
        <v>140</v>
      </c>
      <c r="K6" s="5">
        <v>20660</v>
      </c>
      <c r="L6" s="7" t="s">
        <v>141</v>
      </c>
      <c r="M6" s="7" t="s">
        <v>142</v>
      </c>
      <c r="N6" s="4" t="s">
        <v>143</v>
      </c>
      <c r="O6" s="4" t="s">
        <v>89</v>
      </c>
      <c r="P6" s="4" t="s">
        <v>79</v>
      </c>
      <c r="Q6" s="4" t="s">
        <v>144</v>
      </c>
      <c r="R6" s="8">
        <f t="shared" ref="R6" si="40">S6/8*1000</f>
        <v>975</v>
      </c>
      <c r="S6" s="24">
        <f t="shared" ref="S6" si="41">U6*V6/1000</f>
        <v>7.8</v>
      </c>
      <c r="T6" s="48" t="s">
        <v>145</v>
      </c>
      <c r="U6" s="51">
        <v>13</v>
      </c>
      <c r="V6" s="51">
        <v>600</v>
      </c>
      <c r="W6" s="51" t="s">
        <v>126</v>
      </c>
      <c r="X6" s="6" t="s">
        <v>59</v>
      </c>
      <c r="Y6" s="6" t="s">
        <v>50</v>
      </c>
      <c r="Z6" s="4" t="s">
        <v>108</v>
      </c>
      <c r="AA6" s="6" t="s">
        <v>29</v>
      </c>
      <c r="AB6" s="9">
        <f t="shared" ref="AB6" si="42">AD6/S6/1000</f>
        <v>1.3354320512820514</v>
      </c>
      <c r="AC6" s="9">
        <v>0</v>
      </c>
      <c r="AD6" s="54">
        <v>10416.370000000001</v>
      </c>
      <c r="AE6" s="9">
        <f t="shared" ref="AE6" si="43">AC6+AD6</f>
        <v>10416.370000000001</v>
      </c>
      <c r="AF6" s="9">
        <v>18000</v>
      </c>
      <c r="AG6" s="9">
        <f t="shared" ref="AG6" si="44">AF6-AD6</f>
        <v>7583.6299999999992</v>
      </c>
      <c r="AH6" s="19">
        <f t="shared" ref="AH6:AH10" si="45">(AF6/AE6)-100%</f>
        <v>0.72804921484163865</v>
      </c>
      <c r="AI6" s="48" t="s">
        <v>29</v>
      </c>
      <c r="AJ6" s="7" t="s">
        <v>177</v>
      </c>
      <c r="AK6" s="9" t="s">
        <v>109</v>
      </c>
      <c r="AL6" s="9">
        <v>14400</v>
      </c>
      <c r="AM6" s="9">
        <v>0</v>
      </c>
      <c r="AN6" s="9">
        <v>0</v>
      </c>
      <c r="AO6" s="9">
        <v>0</v>
      </c>
      <c r="AP6" s="9">
        <v>0</v>
      </c>
      <c r="AQ6" s="9">
        <f t="shared" ref="AQ6" si="46">AF6-AL6-AO6-AP6</f>
        <v>3600</v>
      </c>
      <c r="AR6" s="4" t="s">
        <v>54</v>
      </c>
      <c r="AS6" s="21">
        <v>0</v>
      </c>
      <c r="AT6" s="6">
        <v>1</v>
      </c>
      <c r="AU6" s="5">
        <v>45787</v>
      </c>
      <c r="AV6" s="23"/>
      <c r="AW6" s="5">
        <v>45819</v>
      </c>
      <c r="AX6" s="5">
        <v>45866</v>
      </c>
      <c r="AY6" s="5">
        <v>45859</v>
      </c>
      <c r="AZ6" s="5">
        <v>45860</v>
      </c>
      <c r="BA6" s="6"/>
      <c r="BB6" s="6">
        <f t="shared" ref="BB6" si="47">BA6-AU6</f>
        <v>-45787</v>
      </c>
      <c r="BC6" s="6"/>
      <c r="BD6" s="6" t="str">
        <f t="shared" ref="BD6" si="48">Y6</f>
        <v>GROWATT</v>
      </c>
      <c r="BE6" s="7" t="str">
        <f t="shared" ref="BE6:BE10" si="49">I6</f>
        <v>GIRLEIDE DOS SANTOS PEREIRA - DANIELE</v>
      </c>
      <c r="BF6" s="7" t="str">
        <f t="shared" ref="BF6" si="50">L6</f>
        <v>82 99667-2921</v>
      </c>
      <c r="BG6" s="41"/>
      <c r="BH6" s="35"/>
      <c r="BI6" s="61"/>
    </row>
    <row r="7" spans="1:61" s="20" customFormat="1" ht="24.95" customHeight="1" x14ac:dyDescent="0.25">
      <c r="A7" s="66">
        <v>45782</v>
      </c>
      <c r="B7" s="12">
        <v>45821</v>
      </c>
      <c r="C7" s="14"/>
      <c r="D7" s="15"/>
      <c r="E7" s="15" t="s">
        <v>29</v>
      </c>
      <c r="F7" s="14" t="s">
        <v>29</v>
      </c>
      <c r="G7" s="14" t="s">
        <v>27</v>
      </c>
      <c r="H7" s="15" t="s">
        <v>60</v>
      </c>
      <c r="I7" s="13" t="s">
        <v>187</v>
      </c>
      <c r="J7" s="13" t="s">
        <v>146</v>
      </c>
      <c r="K7" s="14">
        <v>28909</v>
      </c>
      <c r="L7" s="16" t="s">
        <v>147</v>
      </c>
      <c r="M7" s="16" t="s">
        <v>148</v>
      </c>
      <c r="N7" s="13" t="s">
        <v>149</v>
      </c>
      <c r="O7" s="13" t="s">
        <v>90</v>
      </c>
      <c r="P7" s="13" t="s">
        <v>55</v>
      </c>
      <c r="Q7" s="13" t="s">
        <v>150</v>
      </c>
      <c r="R7" s="17">
        <f t="shared" ref="R7:R8" si="51">S7/8*1000</f>
        <v>1200</v>
      </c>
      <c r="S7" s="25">
        <f t="shared" ref="S7:S8" si="52">U7*V7/1000</f>
        <v>9.6</v>
      </c>
      <c r="T7" s="13" t="s">
        <v>181</v>
      </c>
      <c r="U7" s="53">
        <v>16</v>
      </c>
      <c r="V7" s="30">
        <v>600</v>
      </c>
      <c r="W7" s="30" t="s">
        <v>126</v>
      </c>
      <c r="X7" s="15" t="s">
        <v>59</v>
      </c>
      <c r="Y7" s="15" t="s">
        <v>82</v>
      </c>
      <c r="Z7" s="13" t="s">
        <v>108</v>
      </c>
      <c r="AA7" s="15" t="s">
        <v>29</v>
      </c>
      <c r="AB7" s="18">
        <f t="shared" ref="AB7:AB8" si="53">AD7/S7/1000</f>
        <v>1.3630864583333333</v>
      </c>
      <c r="AC7" s="18">
        <v>0</v>
      </c>
      <c r="AD7" s="55">
        <v>13085.63</v>
      </c>
      <c r="AE7" s="18">
        <f t="shared" ref="AE7:AE8" si="54">AC7+AD7</f>
        <v>13085.63</v>
      </c>
      <c r="AF7" s="18">
        <v>20000</v>
      </c>
      <c r="AG7" s="18">
        <f t="shared" ref="AG7:AG8" si="55">AF7-AD7</f>
        <v>6914.3700000000008</v>
      </c>
      <c r="AH7" s="10">
        <f t="shared" si="45"/>
        <v>0.52839412393595131</v>
      </c>
      <c r="AI7" s="42" t="s">
        <v>180</v>
      </c>
      <c r="AJ7" s="16" t="s">
        <v>182</v>
      </c>
      <c r="AK7" s="18" t="s">
        <v>152</v>
      </c>
      <c r="AL7" s="18">
        <v>20000</v>
      </c>
      <c r="AM7" s="18">
        <v>0</v>
      </c>
      <c r="AN7" s="18">
        <v>0</v>
      </c>
      <c r="AO7" s="18">
        <v>0</v>
      </c>
      <c r="AP7" s="18">
        <v>0</v>
      </c>
      <c r="AQ7" s="18">
        <f t="shared" ref="AQ7:AQ8" si="56">AF7-AL7-AO7-AP7</f>
        <v>0</v>
      </c>
      <c r="AR7" s="13" t="s">
        <v>54</v>
      </c>
      <c r="AS7" s="22">
        <v>0</v>
      </c>
      <c r="AT7" s="15">
        <v>1</v>
      </c>
      <c r="AU7" s="14">
        <v>45784</v>
      </c>
      <c r="AV7" s="26">
        <v>45847</v>
      </c>
      <c r="AW7" s="14">
        <v>45805</v>
      </c>
      <c r="AX7" s="14">
        <v>45866</v>
      </c>
      <c r="AY7" s="14">
        <v>45861</v>
      </c>
      <c r="AZ7" s="14">
        <v>45863</v>
      </c>
      <c r="BA7" s="14">
        <v>45869</v>
      </c>
      <c r="BB7" s="15">
        <f t="shared" ref="BB7:BB8" si="57">BA7-AU7</f>
        <v>85</v>
      </c>
      <c r="BC7" s="15"/>
      <c r="BD7" s="15" t="str">
        <f t="shared" ref="BD7:BD8" si="58">Y7</f>
        <v>SUNGROW</v>
      </c>
      <c r="BE7" s="16" t="str">
        <f t="shared" si="49"/>
        <v>CARLOS LUCIANO GOMES JÚNIOR - CONSÓRCIO</v>
      </c>
      <c r="BF7" s="16" t="str">
        <f t="shared" ref="BF7:BF8" si="59">L7</f>
        <v>82 99953-1527</v>
      </c>
      <c r="BG7" s="59" t="s">
        <v>184</v>
      </c>
      <c r="BH7" s="32" t="s">
        <v>185</v>
      </c>
      <c r="BI7" s="62"/>
    </row>
    <row r="8" spans="1:61" s="11" customFormat="1" ht="24.95" customHeight="1" x14ac:dyDescent="0.25">
      <c r="A8" s="66">
        <v>45792</v>
      </c>
      <c r="B8" s="45" t="s">
        <v>83</v>
      </c>
      <c r="C8" s="34" t="s">
        <v>83</v>
      </c>
      <c r="D8" s="31" t="s">
        <v>83</v>
      </c>
      <c r="E8" s="6" t="s">
        <v>29</v>
      </c>
      <c r="F8" s="5" t="s">
        <v>29</v>
      </c>
      <c r="G8" s="5" t="s">
        <v>27</v>
      </c>
      <c r="H8" s="6" t="s">
        <v>83</v>
      </c>
      <c r="I8" s="4" t="s">
        <v>176</v>
      </c>
      <c r="J8" s="4" t="s">
        <v>154</v>
      </c>
      <c r="K8" s="5">
        <v>32193</v>
      </c>
      <c r="L8" s="7" t="s">
        <v>155</v>
      </c>
      <c r="M8" s="7" t="s">
        <v>156</v>
      </c>
      <c r="N8" s="4" t="s">
        <v>157</v>
      </c>
      <c r="O8" s="4" t="s">
        <v>158</v>
      </c>
      <c r="P8" s="4" t="s">
        <v>55</v>
      </c>
      <c r="Q8" s="4" t="s">
        <v>159</v>
      </c>
      <c r="R8" s="8">
        <f t="shared" si="51"/>
        <v>600</v>
      </c>
      <c r="S8" s="24">
        <f t="shared" si="52"/>
        <v>4.8</v>
      </c>
      <c r="T8" s="4" t="s">
        <v>179</v>
      </c>
      <c r="U8" s="51">
        <v>8</v>
      </c>
      <c r="V8" s="31">
        <v>600</v>
      </c>
      <c r="W8" s="31" t="s">
        <v>126</v>
      </c>
      <c r="X8" s="6" t="s">
        <v>46</v>
      </c>
      <c r="Y8" s="6" t="s">
        <v>50</v>
      </c>
      <c r="Z8" s="4" t="s">
        <v>108</v>
      </c>
      <c r="AA8" s="6" t="s">
        <v>29</v>
      </c>
      <c r="AB8" s="9">
        <f t="shared" si="53"/>
        <v>1.4404937500000001</v>
      </c>
      <c r="AC8" s="9">
        <v>0</v>
      </c>
      <c r="AD8" s="55">
        <v>6914.37</v>
      </c>
      <c r="AE8" s="9">
        <f t="shared" si="54"/>
        <v>6914.37</v>
      </c>
      <c r="AF8" s="9">
        <v>13000</v>
      </c>
      <c r="AG8" s="9">
        <f t="shared" si="55"/>
        <v>6085.63</v>
      </c>
      <c r="AH8" s="19">
        <f t="shared" si="45"/>
        <v>0.88014237016532237</v>
      </c>
      <c r="AI8" s="50" t="s">
        <v>178</v>
      </c>
      <c r="AJ8" s="7" t="s">
        <v>183</v>
      </c>
      <c r="AK8" s="9" t="s">
        <v>63</v>
      </c>
      <c r="AL8" s="9">
        <v>13000</v>
      </c>
      <c r="AM8" s="9">
        <v>0</v>
      </c>
      <c r="AN8" s="9">
        <v>0</v>
      </c>
      <c r="AO8" s="9">
        <v>0</v>
      </c>
      <c r="AP8" s="9">
        <v>0</v>
      </c>
      <c r="AQ8" s="9">
        <f t="shared" si="56"/>
        <v>0</v>
      </c>
      <c r="AR8" s="4" t="s">
        <v>58</v>
      </c>
      <c r="AS8" s="21">
        <v>0</v>
      </c>
      <c r="AT8" s="6">
        <v>0</v>
      </c>
      <c r="AU8" s="5">
        <v>45793</v>
      </c>
      <c r="AV8" s="23">
        <v>45847</v>
      </c>
      <c r="AW8" s="5">
        <v>45820</v>
      </c>
      <c r="AX8" s="34">
        <v>45874</v>
      </c>
      <c r="AY8" s="5">
        <v>45873</v>
      </c>
      <c r="AZ8" s="5">
        <v>45873</v>
      </c>
      <c r="BA8" s="5">
        <v>45878</v>
      </c>
      <c r="BB8" s="6">
        <f t="shared" si="57"/>
        <v>85</v>
      </c>
      <c r="BC8" s="6"/>
      <c r="BD8" s="6" t="str">
        <f t="shared" si="58"/>
        <v>GROWATT</v>
      </c>
      <c r="BE8" s="7" t="str">
        <f t="shared" si="49"/>
        <v>MIGUEL ALVES DOS SANTOS (COMPRADO JUNTO COM O KIT DO LUCIANO)</v>
      </c>
      <c r="BF8" s="7" t="str">
        <f t="shared" si="59"/>
        <v>82 99670-9136</v>
      </c>
      <c r="BG8" s="41"/>
      <c r="BH8" s="35"/>
      <c r="BI8" s="61"/>
    </row>
    <row r="9" spans="1:61" s="20" customFormat="1" ht="24.95" customHeight="1" x14ac:dyDescent="0.25">
      <c r="A9" s="66">
        <v>45794</v>
      </c>
      <c r="B9" s="44" t="s">
        <v>78</v>
      </c>
      <c r="C9" s="44" t="s">
        <v>78</v>
      </c>
      <c r="D9" s="44" t="s">
        <v>78</v>
      </c>
      <c r="E9" s="15" t="s">
        <v>29</v>
      </c>
      <c r="F9" s="14" t="s">
        <v>29</v>
      </c>
      <c r="G9" s="14" t="s">
        <v>27</v>
      </c>
      <c r="H9" s="57" t="s">
        <v>78</v>
      </c>
      <c r="I9" s="13" t="s">
        <v>161</v>
      </c>
      <c r="J9" s="13" t="s">
        <v>162</v>
      </c>
      <c r="K9" s="14">
        <v>22871</v>
      </c>
      <c r="L9" s="16" t="s">
        <v>163</v>
      </c>
      <c r="M9" s="16" t="s">
        <v>164</v>
      </c>
      <c r="N9" s="13" t="s">
        <v>165</v>
      </c>
      <c r="O9" s="13" t="s">
        <v>89</v>
      </c>
      <c r="P9" s="13" t="s">
        <v>67</v>
      </c>
      <c r="Q9" s="13" t="s">
        <v>166</v>
      </c>
      <c r="R9" s="17">
        <f t="shared" ref="R9:R10" si="60">S9/8*1000</f>
        <v>610</v>
      </c>
      <c r="S9" s="25">
        <f t="shared" ref="S9:S10" si="61">U9*V9/1000</f>
        <v>4.88</v>
      </c>
      <c r="T9" s="13" t="s">
        <v>160</v>
      </c>
      <c r="U9" s="15">
        <v>8</v>
      </c>
      <c r="V9" s="15">
        <v>610</v>
      </c>
      <c r="W9" s="15" t="s">
        <v>151</v>
      </c>
      <c r="X9" s="15" t="s">
        <v>46</v>
      </c>
      <c r="Y9" s="15" t="s">
        <v>50</v>
      </c>
      <c r="Z9" s="13" t="s">
        <v>108</v>
      </c>
      <c r="AA9" s="15" t="s">
        <v>29</v>
      </c>
      <c r="AB9" s="18">
        <f t="shared" ref="AB9:AB10" si="62">AD9/S9/1000</f>
        <v>0</v>
      </c>
      <c r="AC9" s="18">
        <v>0</v>
      </c>
      <c r="AD9" s="56">
        <v>0</v>
      </c>
      <c r="AE9" s="18">
        <f t="shared" ref="AE9:AE10" si="63">AC9+AD9</f>
        <v>0</v>
      </c>
      <c r="AF9" s="18">
        <v>12319.37</v>
      </c>
      <c r="AG9" s="18">
        <f t="shared" ref="AG9:AG10" si="64">AF9-AD9</f>
        <v>12319.37</v>
      </c>
      <c r="AH9" s="10" t="e">
        <f t="shared" si="45"/>
        <v>#DIV/0!</v>
      </c>
      <c r="AI9" s="13" t="s">
        <v>29</v>
      </c>
      <c r="AJ9" s="16"/>
      <c r="AK9" s="18" t="s">
        <v>63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f t="shared" ref="AQ9:AQ10" si="65">AF9-AL9-AO9-AP9</f>
        <v>12319.37</v>
      </c>
      <c r="AR9" s="13" t="s">
        <v>54</v>
      </c>
      <c r="AS9" s="22">
        <v>0</v>
      </c>
      <c r="AT9" s="15">
        <v>0</v>
      </c>
      <c r="AU9" s="14">
        <v>45798</v>
      </c>
      <c r="AV9" s="26" t="s">
        <v>186</v>
      </c>
      <c r="AW9" s="14">
        <v>45820</v>
      </c>
      <c r="AX9" s="30">
        <v>0</v>
      </c>
      <c r="AY9" s="36">
        <v>0</v>
      </c>
      <c r="AZ9" s="36">
        <v>0</v>
      </c>
      <c r="BA9" s="30">
        <v>0</v>
      </c>
      <c r="BB9" s="30">
        <f t="shared" ref="BB9:BB10" si="66">BA9-AU9</f>
        <v>-45798</v>
      </c>
      <c r="BC9" s="15"/>
      <c r="BD9" s="15" t="str">
        <f t="shared" ref="BD9:BD10" si="67">Y9</f>
        <v>GROWATT</v>
      </c>
      <c r="BE9" s="7" t="str">
        <f t="shared" si="49"/>
        <v>LENY MARIA DOS SANTOS - HUGO</v>
      </c>
      <c r="BF9" s="16" t="str">
        <f t="shared" ref="BF9:BF10" si="68">L9</f>
        <v>82 99949-4597</v>
      </c>
      <c r="BG9" s="58"/>
      <c r="BH9" s="32"/>
      <c r="BI9" s="62"/>
    </row>
    <row r="10" spans="1:61" s="11" customFormat="1" ht="24.95" customHeight="1" x14ac:dyDescent="0.25">
      <c r="A10" s="66">
        <v>45807</v>
      </c>
      <c r="B10" s="3">
        <v>45847</v>
      </c>
      <c r="C10" s="5"/>
      <c r="D10" s="6"/>
      <c r="E10" s="6" t="s">
        <v>29</v>
      </c>
      <c r="F10" s="5" t="s">
        <v>29</v>
      </c>
      <c r="G10" s="5" t="s">
        <v>27</v>
      </c>
      <c r="H10" s="6" t="s">
        <v>60</v>
      </c>
      <c r="I10" s="4" t="s">
        <v>168</v>
      </c>
      <c r="J10" s="4" t="s">
        <v>169</v>
      </c>
      <c r="K10" s="5">
        <v>28836</v>
      </c>
      <c r="L10" s="7" t="s">
        <v>170</v>
      </c>
      <c r="M10" s="7" t="s">
        <v>171</v>
      </c>
      <c r="N10" s="4" t="s">
        <v>172</v>
      </c>
      <c r="O10" s="4" t="s">
        <v>89</v>
      </c>
      <c r="P10" s="4" t="s">
        <v>72</v>
      </c>
      <c r="Q10" s="4" t="s">
        <v>173</v>
      </c>
      <c r="R10" s="8">
        <f t="shared" si="60"/>
        <v>1220</v>
      </c>
      <c r="S10" s="24">
        <f t="shared" si="61"/>
        <v>9.76</v>
      </c>
      <c r="T10" s="48" t="s">
        <v>174</v>
      </c>
      <c r="U10" s="51">
        <v>16</v>
      </c>
      <c r="V10" s="51">
        <v>610</v>
      </c>
      <c r="W10" s="51" t="s">
        <v>151</v>
      </c>
      <c r="X10" s="6" t="s">
        <v>61</v>
      </c>
      <c r="Y10" s="6" t="s">
        <v>50</v>
      </c>
      <c r="Z10" s="4" t="s">
        <v>108</v>
      </c>
      <c r="AA10" s="6" t="s">
        <v>29</v>
      </c>
      <c r="AB10" s="9">
        <f t="shared" si="62"/>
        <v>1.4362961065573769</v>
      </c>
      <c r="AC10" s="9">
        <v>0</v>
      </c>
      <c r="AD10" s="54">
        <v>14018.25</v>
      </c>
      <c r="AE10" s="9">
        <f t="shared" si="63"/>
        <v>14018.25</v>
      </c>
      <c r="AF10" s="9">
        <v>22000</v>
      </c>
      <c r="AG10" s="9">
        <f t="shared" si="64"/>
        <v>7981.75</v>
      </c>
      <c r="AH10" s="19">
        <f t="shared" si="45"/>
        <v>0.56938276889055328</v>
      </c>
      <c r="AI10" s="4" t="s">
        <v>29</v>
      </c>
      <c r="AJ10" s="7" t="s">
        <v>194</v>
      </c>
      <c r="AK10" s="9" t="s">
        <v>63</v>
      </c>
      <c r="AL10" s="9">
        <v>22000</v>
      </c>
      <c r="AM10" s="9">
        <v>0</v>
      </c>
      <c r="AN10" s="9">
        <v>0</v>
      </c>
      <c r="AO10" s="9">
        <v>0</v>
      </c>
      <c r="AP10" s="9">
        <v>0</v>
      </c>
      <c r="AQ10" s="9">
        <f t="shared" si="65"/>
        <v>0</v>
      </c>
      <c r="AR10" s="4" t="s">
        <v>54</v>
      </c>
      <c r="AS10" s="21">
        <v>0</v>
      </c>
      <c r="AT10" s="6">
        <v>1</v>
      </c>
      <c r="AU10" s="5">
        <v>45808</v>
      </c>
      <c r="AV10" s="23">
        <v>45855</v>
      </c>
      <c r="AW10" s="5">
        <v>45839</v>
      </c>
      <c r="AX10" s="34">
        <v>45923</v>
      </c>
      <c r="AY10" s="5">
        <v>45922</v>
      </c>
      <c r="AZ10" s="5">
        <v>45923</v>
      </c>
      <c r="BA10" s="5">
        <v>45926</v>
      </c>
      <c r="BB10" s="6">
        <f t="shared" si="66"/>
        <v>118</v>
      </c>
      <c r="BC10" s="6"/>
      <c r="BD10" s="6" t="str">
        <f t="shared" si="67"/>
        <v>GROWATT</v>
      </c>
      <c r="BE10" s="7" t="str">
        <f t="shared" si="49"/>
        <v>MARIA MONICA MOTA DA SILVA</v>
      </c>
      <c r="BF10" s="7" t="str">
        <f t="shared" si="68"/>
        <v>82 98122-2369</v>
      </c>
      <c r="BG10" s="41"/>
      <c r="BH10" s="35"/>
      <c r="BI10" s="61"/>
    </row>
    <row r="11" spans="1:61" s="11" customFormat="1" ht="24.95" customHeight="1" x14ac:dyDescent="0.25">
      <c r="A11" s="66">
        <v>46100</v>
      </c>
      <c r="B11" s="3">
        <v>46162</v>
      </c>
      <c r="C11" s="5"/>
      <c r="D11" s="6"/>
      <c r="E11" s="6"/>
      <c r="F11" s="5"/>
      <c r="G11" s="5" t="s">
        <v>27</v>
      </c>
      <c r="H11" s="6" t="s">
        <v>60</v>
      </c>
      <c r="I11" s="4" t="s">
        <v>229</v>
      </c>
      <c r="J11" s="4" t="s">
        <v>195</v>
      </c>
      <c r="K11" s="5">
        <v>31120</v>
      </c>
      <c r="L11" s="7" t="s">
        <v>196</v>
      </c>
      <c r="M11" s="7" t="s">
        <v>197</v>
      </c>
      <c r="N11" s="4" t="s">
        <v>198</v>
      </c>
      <c r="O11" s="4" t="s">
        <v>89</v>
      </c>
      <c r="P11" s="4" t="s">
        <v>199</v>
      </c>
      <c r="Q11" s="4" t="s">
        <v>200</v>
      </c>
      <c r="R11" s="8">
        <f t="shared" ref="R11" si="69">S11/8*1000</f>
        <v>1472.5</v>
      </c>
      <c r="S11" s="24">
        <f t="shared" ref="S11" si="70">U11*V11/1000</f>
        <v>11.78</v>
      </c>
      <c r="T11" s="4" t="s">
        <v>217</v>
      </c>
      <c r="U11" s="6">
        <v>19</v>
      </c>
      <c r="V11" s="6">
        <v>620</v>
      </c>
      <c r="W11" s="31" t="s">
        <v>201</v>
      </c>
      <c r="X11" s="6" t="s">
        <v>61</v>
      </c>
      <c r="Y11" s="31" t="s">
        <v>82</v>
      </c>
      <c r="Z11" s="4" t="s">
        <v>108</v>
      </c>
      <c r="AA11" s="6" t="s">
        <v>29</v>
      </c>
      <c r="AB11" s="9">
        <f t="shared" ref="AB11" si="71">AD11/S11/1000</f>
        <v>1.4541595925297115</v>
      </c>
      <c r="AC11" s="9">
        <v>0</v>
      </c>
      <c r="AD11" s="54">
        <v>17130</v>
      </c>
      <c r="AE11" s="9">
        <f t="shared" ref="AE11" si="72">AC11+AD11</f>
        <v>17130</v>
      </c>
      <c r="AF11" s="9">
        <v>23000</v>
      </c>
      <c r="AG11" s="9">
        <f t="shared" ref="AG11" si="73">AF11-AD11</f>
        <v>5870</v>
      </c>
      <c r="AH11" s="10">
        <f t="shared" ref="AH11" si="74">(AF11/AE11)-100%</f>
        <v>0.34267367192060716</v>
      </c>
      <c r="AI11" s="50" t="s">
        <v>216</v>
      </c>
      <c r="AJ11" s="7" t="s">
        <v>230</v>
      </c>
      <c r="AK11" s="9" t="s">
        <v>152</v>
      </c>
      <c r="AL11" s="9">
        <v>3000</v>
      </c>
      <c r="AM11" s="9">
        <v>0</v>
      </c>
      <c r="AN11" s="9">
        <v>0</v>
      </c>
      <c r="AO11" s="9">
        <v>0</v>
      </c>
      <c r="AP11" s="9">
        <v>0</v>
      </c>
      <c r="AQ11" s="9">
        <f t="shared" ref="AQ11" si="75">AF11-AL11-AO11-AP11</f>
        <v>20000</v>
      </c>
      <c r="AR11" s="4" t="s">
        <v>105</v>
      </c>
      <c r="AS11" s="21">
        <v>0</v>
      </c>
      <c r="AT11" s="6">
        <v>0</v>
      </c>
      <c r="AU11" s="5">
        <v>46102</v>
      </c>
      <c r="AV11" s="23"/>
      <c r="AW11" s="5">
        <v>46115</v>
      </c>
      <c r="AX11" s="6"/>
      <c r="AY11" s="5"/>
      <c r="AZ11" s="5"/>
      <c r="BA11" s="6"/>
      <c r="BB11" s="6">
        <f t="shared" ref="BB11" si="76">BA11-AU11</f>
        <v>-46102</v>
      </c>
      <c r="BC11" s="6"/>
      <c r="BD11" s="6" t="str">
        <f t="shared" ref="BD11" si="77">Y11</f>
        <v>SUNGROW</v>
      </c>
      <c r="BE11" s="16" t="str">
        <f t="shared" ref="BE11:BE14" si="78">I11</f>
        <v>ROSILANE ISIDORO DE OLIVEIRA - CONSÓRCIO + 6X620W - CÉLIA (AUTRAN = LAN) + INVERSOR 3KW - ESTOQUE</v>
      </c>
      <c r="BF11" s="7" t="str">
        <f t="shared" ref="BF11" si="79">L11</f>
        <v>82 98893-1882</v>
      </c>
      <c r="BG11" s="41"/>
      <c r="BH11" s="35"/>
      <c r="BI11" s="61"/>
    </row>
    <row r="12" spans="1:61" s="11" customFormat="1" ht="24.95" customHeight="1" x14ac:dyDescent="0.25">
      <c r="A12" s="66">
        <v>46137</v>
      </c>
      <c r="B12" s="45" t="s">
        <v>85</v>
      </c>
      <c r="C12" s="45" t="s">
        <v>85</v>
      </c>
      <c r="D12" s="45" t="s">
        <v>85</v>
      </c>
      <c r="E12" s="6"/>
      <c r="F12" s="5"/>
      <c r="G12" s="5" t="s">
        <v>27</v>
      </c>
      <c r="H12" s="31" t="s">
        <v>85</v>
      </c>
      <c r="I12" s="4" t="s">
        <v>218</v>
      </c>
      <c r="J12" s="4" t="s">
        <v>202</v>
      </c>
      <c r="K12" s="5">
        <v>30010</v>
      </c>
      <c r="L12" s="7" t="s">
        <v>203</v>
      </c>
      <c r="M12" s="7" t="s">
        <v>204</v>
      </c>
      <c r="N12" s="4" t="s">
        <v>205</v>
      </c>
      <c r="O12" s="4" t="s">
        <v>91</v>
      </c>
      <c r="P12" s="4" t="s">
        <v>175</v>
      </c>
      <c r="Q12" s="4" t="s">
        <v>206</v>
      </c>
      <c r="R12" s="8">
        <f t="shared" ref="R12:R20" si="80">S12/8*1000</f>
        <v>529.375</v>
      </c>
      <c r="S12" s="24">
        <f t="shared" ref="S12:S20" si="81">U12*V12/1000</f>
        <v>4.2350000000000003</v>
      </c>
      <c r="T12" s="48" t="s">
        <v>207</v>
      </c>
      <c r="U12" s="6">
        <v>7</v>
      </c>
      <c r="V12" s="6">
        <v>605</v>
      </c>
      <c r="W12" s="6" t="s">
        <v>151</v>
      </c>
      <c r="X12" s="6" t="s">
        <v>69</v>
      </c>
      <c r="Y12" s="6" t="s">
        <v>208</v>
      </c>
      <c r="Z12" s="4" t="s">
        <v>209</v>
      </c>
      <c r="AA12" s="6" t="s">
        <v>29</v>
      </c>
      <c r="AB12" s="9">
        <f t="shared" ref="AB12:AB20" si="82">AD12/S12/1000</f>
        <v>0</v>
      </c>
      <c r="AC12" s="9">
        <v>0</v>
      </c>
      <c r="AD12" s="55">
        <v>0</v>
      </c>
      <c r="AE12" s="9">
        <f t="shared" ref="AE12:AE20" si="83">AC12+AD12</f>
        <v>0</v>
      </c>
      <c r="AF12" s="9">
        <v>2000</v>
      </c>
      <c r="AG12" s="9">
        <f t="shared" ref="AG12:AG20" si="84">AF12-AD12</f>
        <v>2000</v>
      </c>
      <c r="AH12" s="10" t="e">
        <f t="shared" ref="AH12:AH20" si="85">(AF12/AE12)-100%</f>
        <v>#DIV/0!</v>
      </c>
      <c r="AI12" s="4" t="s">
        <v>29</v>
      </c>
      <c r="AJ12" s="7" t="s">
        <v>231</v>
      </c>
      <c r="AK12" s="9" t="s">
        <v>109</v>
      </c>
      <c r="AL12" s="9">
        <v>1000</v>
      </c>
      <c r="AM12" s="9">
        <v>0</v>
      </c>
      <c r="AN12" s="9">
        <v>0</v>
      </c>
      <c r="AO12" s="9">
        <v>0</v>
      </c>
      <c r="AP12" s="9">
        <v>0</v>
      </c>
      <c r="AQ12" s="9">
        <f t="shared" ref="AQ12:AQ20" si="86">AF12-AL12-AO12-AP12</f>
        <v>1000</v>
      </c>
      <c r="AR12" s="4" t="s">
        <v>105</v>
      </c>
      <c r="AS12" s="21">
        <v>0</v>
      </c>
      <c r="AT12" s="6">
        <v>0</v>
      </c>
      <c r="AU12" s="5">
        <v>46140</v>
      </c>
      <c r="AV12" s="23"/>
      <c r="AW12" s="5">
        <v>46154</v>
      </c>
      <c r="AX12" s="6"/>
      <c r="AY12" s="5"/>
      <c r="AZ12" s="5"/>
      <c r="BA12" s="5">
        <v>46165</v>
      </c>
      <c r="BB12" s="6">
        <f t="shared" ref="BB12:BB20" si="87">BA12-AU12</f>
        <v>25</v>
      </c>
      <c r="BC12" s="6"/>
      <c r="BD12" s="6" t="str">
        <f t="shared" ref="BD12:BD20" si="88">Y12</f>
        <v>HUAWEI</v>
      </c>
      <c r="BE12" s="7" t="str">
        <f t="shared" si="78"/>
        <v>ROSEMIRO LÁZARO DOS SANTOS - SOMENTE PROJETO</v>
      </c>
      <c r="BF12" s="7" t="str">
        <f t="shared" ref="BF12:BF20" si="89">L12</f>
        <v>82 99603-0513</v>
      </c>
      <c r="BG12" s="41"/>
      <c r="BH12" s="35"/>
      <c r="BI12" s="61"/>
    </row>
    <row r="13" spans="1:61" s="20" customFormat="1" ht="24.95" customHeight="1" x14ac:dyDescent="0.25">
      <c r="A13" s="66">
        <v>46139</v>
      </c>
      <c r="B13" s="12">
        <v>46168</v>
      </c>
      <c r="C13" s="14"/>
      <c r="D13" s="15"/>
      <c r="E13" s="15"/>
      <c r="F13" s="14"/>
      <c r="G13" s="14" t="s">
        <v>27</v>
      </c>
      <c r="H13" s="15" t="s">
        <v>60</v>
      </c>
      <c r="I13" s="13" t="s">
        <v>210</v>
      </c>
      <c r="J13" s="13" t="s">
        <v>211</v>
      </c>
      <c r="K13" s="14">
        <v>27014</v>
      </c>
      <c r="L13" s="16" t="s">
        <v>212</v>
      </c>
      <c r="M13" s="16" t="s">
        <v>213</v>
      </c>
      <c r="N13" s="13" t="s">
        <v>219</v>
      </c>
      <c r="O13" s="13" t="s">
        <v>214</v>
      </c>
      <c r="P13" s="13" t="s">
        <v>79</v>
      </c>
      <c r="Q13" s="13" t="s">
        <v>215</v>
      </c>
      <c r="R13" s="17">
        <f t="shared" si="80"/>
        <v>1007.5000000000001</v>
      </c>
      <c r="S13" s="25">
        <f t="shared" si="81"/>
        <v>8.06</v>
      </c>
      <c r="T13" s="13" t="s">
        <v>221</v>
      </c>
      <c r="U13" s="30">
        <v>13</v>
      </c>
      <c r="V13" s="30">
        <v>620</v>
      </c>
      <c r="W13" s="30" t="s">
        <v>201</v>
      </c>
      <c r="X13" s="15" t="s">
        <v>46</v>
      </c>
      <c r="Y13" s="15" t="s">
        <v>50</v>
      </c>
      <c r="Z13" s="13" t="s">
        <v>108</v>
      </c>
      <c r="AA13" s="15" t="s">
        <v>29</v>
      </c>
      <c r="AB13" s="18">
        <f t="shared" si="82"/>
        <v>1.4566129032258064</v>
      </c>
      <c r="AC13" s="18">
        <v>0</v>
      </c>
      <c r="AD13" s="55">
        <v>11740.3</v>
      </c>
      <c r="AE13" s="18">
        <f t="shared" si="83"/>
        <v>11740.3</v>
      </c>
      <c r="AF13" s="18">
        <v>17264.740000000002</v>
      </c>
      <c r="AG13" s="18">
        <f t="shared" si="84"/>
        <v>5524.4400000000023</v>
      </c>
      <c r="AH13" s="10">
        <f t="shared" si="85"/>
        <v>0.47055356336720555</v>
      </c>
      <c r="AI13" s="42" t="s">
        <v>220</v>
      </c>
      <c r="AJ13" s="16"/>
      <c r="AK13" s="18" t="s">
        <v>193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f t="shared" si="86"/>
        <v>17264.740000000002</v>
      </c>
      <c r="AR13" s="13" t="s">
        <v>87</v>
      </c>
      <c r="AS13" s="28">
        <v>517.94000000000005</v>
      </c>
      <c r="AT13" s="15">
        <v>0</v>
      </c>
      <c r="AU13" s="14">
        <v>46140</v>
      </c>
      <c r="AV13" s="26">
        <v>46177</v>
      </c>
      <c r="AW13" s="14">
        <v>46154</v>
      </c>
      <c r="AX13" s="15"/>
      <c r="AY13" s="14"/>
      <c r="AZ13" s="14"/>
      <c r="BA13" s="15"/>
      <c r="BB13" s="15">
        <f t="shared" si="87"/>
        <v>-46140</v>
      </c>
      <c r="BC13" s="15"/>
      <c r="BD13" s="15" t="str">
        <f t="shared" si="88"/>
        <v>GROWATT</v>
      </c>
      <c r="BE13" s="16" t="str">
        <f t="shared" si="78"/>
        <v xml:space="preserve">ANA TELMA DA SILVA PEREIRA LEITE </v>
      </c>
      <c r="BF13" s="16" t="str">
        <f t="shared" si="89"/>
        <v>82 99929-5691</v>
      </c>
      <c r="BG13" s="58"/>
      <c r="BH13" s="32"/>
      <c r="BI13" s="62"/>
    </row>
    <row r="14" spans="1:61" s="20" customFormat="1" ht="24.95" customHeight="1" x14ac:dyDescent="0.25">
      <c r="A14" s="66">
        <v>46170</v>
      </c>
      <c r="B14" s="44" t="s">
        <v>228</v>
      </c>
      <c r="C14" s="44" t="s">
        <v>228</v>
      </c>
      <c r="D14" s="44" t="s">
        <v>228</v>
      </c>
      <c r="E14" s="15"/>
      <c r="F14" s="14"/>
      <c r="G14" s="14" t="s">
        <v>27</v>
      </c>
      <c r="H14" s="30" t="s">
        <v>228</v>
      </c>
      <c r="I14" s="13" t="s">
        <v>222</v>
      </c>
      <c r="J14" s="13" t="s">
        <v>76</v>
      </c>
      <c r="K14" s="14">
        <v>19034</v>
      </c>
      <c r="L14" s="16" t="s">
        <v>223</v>
      </c>
      <c r="M14" s="16" t="s">
        <v>77</v>
      </c>
      <c r="N14" s="13" t="s">
        <v>224</v>
      </c>
      <c r="O14" s="13" t="s">
        <v>94</v>
      </c>
      <c r="P14" s="13" t="s">
        <v>57</v>
      </c>
      <c r="Q14" s="13" t="s">
        <v>225</v>
      </c>
      <c r="R14" s="17">
        <f t="shared" ref="R14:R17" si="90">S14/8*1000</f>
        <v>517.5</v>
      </c>
      <c r="S14" s="25">
        <f t="shared" ref="S14:S17" si="91">U14*V14/1000</f>
        <v>4.1399999999999997</v>
      </c>
      <c r="T14" s="49" t="s">
        <v>226</v>
      </c>
      <c r="U14" s="15">
        <v>9</v>
      </c>
      <c r="V14" s="15">
        <v>460</v>
      </c>
      <c r="W14" s="15" t="s">
        <v>73</v>
      </c>
      <c r="X14" s="15" t="s">
        <v>69</v>
      </c>
      <c r="Y14" s="15" t="s">
        <v>50</v>
      </c>
      <c r="Z14" s="13" t="s">
        <v>108</v>
      </c>
      <c r="AA14" s="15" t="s">
        <v>29</v>
      </c>
      <c r="AB14" s="18">
        <f t="shared" ref="AB14:AB17" si="92">AD14/S14/1000</f>
        <v>0</v>
      </c>
      <c r="AC14" s="18">
        <v>0</v>
      </c>
      <c r="AD14" s="55">
        <v>0</v>
      </c>
      <c r="AE14" s="18">
        <v>0</v>
      </c>
      <c r="AF14" s="18">
        <v>3000</v>
      </c>
      <c r="AG14" s="18">
        <f t="shared" ref="AG14:AG17" si="93">AF14-AD14</f>
        <v>3000</v>
      </c>
      <c r="AH14" s="19" t="e">
        <f t="shared" ref="AH14:AH17" si="94">(AF14/AE14)-100%</f>
        <v>#DIV/0!</v>
      </c>
      <c r="AI14" s="13" t="s">
        <v>227</v>
      </c>
      <c r="AJ14" s="16"/>
      <c r="AK14" s="18" t="s">
        <v>109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f t="shared" ref="AQ14:AQ17" si="95">AF14-AL14-AO14-AP14</f>
        <v>3000</v>
      </c>
      <c r="AR14" s="13" t="s">
        <v>54</v>
      </c>
      <c r="AS14" s="22">
        <v>0</v>
      </c>
      <c r="AT14" s="15">
        <v>1</v>
      </c>
      <c r="AU14" s="14">
        <v>46171</v>
      </c>
      <c r="AV14" s="26"/>
      <c r="AW14" s="14">
        <v>46195</v>
      </c>
      <c r="AX14" s="15"/>
      <c r="AY14" s="14"/>
      <c r="AZ14" s="14"/>
      <c r="BA14" s="15"/>
      <c r="BB14" s="15">
        <f t="shared" ref="BB14:BB17" si="96">BA14-AU14</f>
        <v>-46171</v>
      </c>
      <c r="BC14" s="15"/>
      <c r="BD14" s="15" t="str">
        <f t="shared" ref="BD14:BD17" si="97">Y14</f>
        <v>GROWATT</v>
      </c>
      <c r="BE14" s="16" t="str">
        <f t="shared" si="78"/>
        <v>MARIA TERESA DA CONCEIÇÃO - APENAS - PROJETO 2</v>
      </c>
      <c r="BF14" s="16" t="str">
        <f t="shared" ref="BF14:BF17" si="98">L14</f>
        <v>82 98214-3292 (JOSÉ - ESPOSO) - 82 98154-3005 (LUCAS - FILHO)</v>
      </c>
      <c r="BG14" s="58"/>
      <c r="BH14" s="32"/>
      <c r="BI14" s="62"/>
    </row>
    <row r="15" spans="1:61" s="11" customFormat="1" ht="24.95" customHeight="1" x14ac:dyDescent="0.25">
      <c r="A15" s="3"/>
      <c r="B15" s="3"/>
      <c r="C15" s="5"/>
      <c r="D15" s="6"/>
      <c r="E15" s="6"/>
      <c r="F15" s="5"/>
      <c r="G15" s="5"/>
      <c r="H15" s="6"/>
      <c r="I15" s="4"/>
      <c r="J15" s="4"/>
      <c r="K15" s="5"/>
      <c r="L15" s="7"/>
      <c r="M15" s="7"/>
      <c r="N15" s="4"/>
      <c r="O15" s="4"/>
      <c r="P15" s="4"/>
      <c r="Q15" s="4"/>
      <c r="R15" s="8">
        <f t="shared" ref="R15" si="99">S15/8*1000</f>
        <v>0</v>
      </c>
      <c r="S15" s="24">
        <f t="shared" ref="S15" si="100">U15*V15/1000</f>
        <v>0</v>
      </c>
      <c r="T15" s="4"/>
      <c r="U15" s="6"/>
      <c r="V15" s="6"/>
      <c r="W15" s="6"/>
      <c r="X15" s="6"/>
      <c r="Y15" s="6"/>
      <c r="Z15" s="4"/>
      <c r="AA15" s="6" t="s">
        <v>29</v>
      </c>
      <c r="AB15" s="9" t="e">
        <f t="shared" ref="AB15" si="101">AD15/S15/1000</f>
        <v>#DIV/0!</v>
      </c>
      <c r="AC15" s="9">
        <v>0</v>
      </c>
      <c r="AD15" s="9">
        <v>0</v>
      </c>
      <c r="AE15" s="9">
        <f t="shared" ref="AE15" si="102">AC15+AD15</f>
        <v>0</v>
      </c>
      <c r="AF15" s="9">
        <v>0</v>
      </c>
      <c r="AG15" s="9">
        <f t="shared" ref="AG15" si="103">AF15-AD15</f>
        <v>0</v>
      </c>
      <c r="AH15" s="10" t="e">
        <f t="shared" ref="AH15" si="104">(AF15/AE15)-100%</f>
        <v>#DIV/0!</v>
      </c>
      <c r="AI15" s="4" t="s">
        <v>29</v>
      </c>
      <c r="AJ15" s="7"/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f t="shared" ref="AQ15" si="105">AF15-AL15-AO15-AP15</f>
        <v>0</v>
      </c>
      <c r="AR15" s="4"/>
      <c r="AS15" s="21">
        <v>0</v>
      </c>
      <c r="AT15" s="6"/>
      <c r="AU15" s="5"/>
      <c r="AV15" s="23"/>
      <c r="AW15" s="5"/>
      <c r="AX15" s="6"/>
      <c r="AY15" s="5"/>
      <c r="AZ15" s="5"/>
      <c r="BA15" s="6"/>
      <c r="BB15" s="6">
        <f t="shared" ref="BB15" si="106">BA15-AU15</f>
        <v>0</v>
      </c>
      <c r="BC15" s="6"/>
      <c r="BD15" s="6">
        <f t="shared" ref="BD15" si="107">Y15</f>
        <v>0</v>
      </c>
      <c r="BE15" s="7"/>
      <c r="BF15" s="7">
        <f t="shared" ref="BF15" si="108">L15</f>
        <v>0</v>
      </c>
      <c r="BG15" s="41"/>
      <c r="BH15" s="35"/>
      <c r="BI15" s="61"/>
    </row>
    <row r="16" spans="1:61" s="20" customFormat="1" ht="24.95" customHeight="1" x14ac:dyDescent="0.25">
      <c r="A16" s="12"/>
      <c r="B16" s="12"/>
      <c r="C16" s="14"/>
      <c r="D16" s="15"/>
      <c r="E16" s="15"/>
      <c r="F16" s="14"/>
      <c r="G16" s="14"/>
      <c r="H16" s="15"/>
      <c r="I16" s="13"/>
      <c r="J16" s="13"/>
      <c r="K16" s="14"/>
      <c r="L16" s="16"/>
      <c r="M16" s="16"/>
      <c r="N16" s="13"/>
      <c r="O16" s="13"/>
      <c r="P16" s="13"/>
      <c r="Q16" s="13"/>
      <c r="R16" s="17">
        <f t="shared" si="90"/>
        <v>0</v>
      </c>
      <c r="S16" s="25">
        <f t="shared" si="91"/>
        <v>0</v>
      </c>
      <c r="T16" s="13"/>
      <c r="U16" s="15"/>
      <c r="V16" s="15"/>
      <c r="W16" s="15"/>
      <c r="X16" s="15"/>
      <c r="Y16" s="15"/>
      <c r="Z16" s="13"/>
      <c r="AA16" s="15" t="s">
        <v>29</v>
      </c>
      <c r="AB16" s="18" t="e">
        <f t="shared" si="92"/>
        <v>#DIV/0!</v>
      </c>
      <c r="AC16" s="18">
        <v>0</v>
      </c>
      <c r="AD16" s="18">
        <v>0</v>
      </c>
      <c r="AE16" s="18">
        <f t="shared" ref="AE16:AE17" si="109">AC16+AD16</f>
        <v>0</v>
      </c>
      <c r="AF16" s="18">
        <v>0</v>
      </c>
      <c r="AG16" s="18">
        <f t="shared" si="93"/>
        <v>0</v>
      </c>
      <c r="AH16" s="10" t="e">
        <f t="shared" si="94"/>
        <v>#DIV/0!</v>
      </c>
      <c r="AI16" s="13" t="s">
        <v>29</v>
      </c>
      <c r="AJ16" s="16"/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f t="shared" si="95"/>
        <v>0</v>
      </c>
      <c r="AR16" s="13"/>
      <c r="AS16" s="22">
        <v>0</v>
      </c>
      <c r="AT16" s="15"/>
      <c r="AU16" s="14"/>
      <c r="AV16" s="26"/>
      <c r="AW16" s="14"/>
      <c r="AX16" s="15"/>
      <c r="AY16" s="14"/>
      <c r="AZ16" s="14"/>
      <c r="BA16" s="15"/>
      <c r="BB16" s="15">
        <f t="shared" si="96"/>
        <v>0</v>
      </c>
      <c r="BC16" s="15"/>
      <c r="BD16" s="15">
        <f t="shared" si="97"/>
        <v>0</v>
      </c>
      <c r="BE16" s="16"/>
      <c r="BF16" s="16">
        <f t="shared" si="98"/>
        <v>0</v>
      </c>
      <c r="BG16" s="58"/>
      <c r="BH16" s="32"/>
      <c r="BI16" s="62"/>
    </row>
    <row r="17" spans="1:61" s="11" customFormat="1" ht="24.95" customHeight="1" x14ac:dyDescent="0.25">
      <c r="A17" s="3"/>
      <c r="B17" s="3"/>
      <c r="C17" s="5"/>
      <c r="D17" s="6"/>
      <c r="E17" s="6"/>
      <c r="F17" s="5"/>
      <c r="G17" s="5"/>
      <c r="H17" s="6"/>
      <c r="I17" s="4"/>
      <c r="J17" s="4"/>
      <c r="K17" s="5"/>
      <c r="L17" s="7"/>
      <c r="M17" s="7"/>
      <c r="N17" s="4"/>
      <c r="O17" s="4"/>
      <c r="P17" s="4"/>
      <c r="Q17" s="4"/>
      <c r="R17" s="8">
        <f t="shared" si="90"/>
        <v>0</v>
      </c>
      <c r="S17" s="24">
        <f t="shared" si="91"/>
        <v>0</v>
      </c>
      <c r="T17" s="4"/>
      <c r="U17" s="6"/>
      <c r="V17" s="6"/>
      <c r="W17" s="6"/>
      <c r="X17" s="6"/>
      <c r="Y17" s="6"/>
      <c r="Z17" s="4"/>
      <c r="AA17" s="6" t="s">
        <v>29</v>
      </c>
      <c r="AB17" s="9" t="e">
        <f t="shared" si="92"/>
        <v>#DIV/0!</v>
      </c>
      <c r="AC17" s="9">
        <v>0</v>
      </c>
      <c r="AD17" s="9">
        <v>0</v>
      </c>
      <c r="AE17" s="9">
        <f t="shared" si="109"/>
        <v>0</v>
      </c>
      <c r="AF17" s="9">
        <v>0</v>
      </c>
      <c r="AG17" s="9">
        <f t="shared" si="93"/>
        <v>0</v>
      </c>
      <c r="AH17" s="10" t="e">
        <f t="shared" si="94"/>
        <v>#DIV/0!</v>
      </c>
      <c r="AI17" s="4" t="s">
        <v>29</v>
      </c>
      <c r="AJ17" s="7"/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f t="shared" si="95"/>
        <v>0</v>
      </c>
      <c r="AR17" s="4"/>
      <c r="AS17" s="21">
        <v>0</v>
      </c>
      <c r="AT17" s="6"/>
      <c r="AU17" s="5"/>
      <c r="AV17" s="23"/>
      <c r="AW17" s="5"/>
      <c r="AX17" s="6"/>
      <c r="AY17" s="5"/>
      <c r="AZ17" s="5"/>
      <c r="BA17" s="6"/>
      <c r="BB17" s="6">
        <f t="shared" si="96"/>
        <v>0</v>
      </c>
      <c r="BC17" s="6"/>
      <c r="BD17" s="6">
        <f t="shared" si="97"/>
        <v>0</v>
      </c>
      <c r="BE17" s="7"/>
      <c r="BF17" s="7">
        <f t="shared" si="98"/>
        <v>0</v>
      </c>
      <c r="BG17" s="41"/>
      <c r="BH17" s="35"/>
      <c r="BI17" s="61"/>
    </row>
    <row r="18" spans="1:61" s="20" customFormat="1" ht="24.95" customHeight="1" x14ac:dyDescent="0.25">
      <c r="A18" s="12"/>
      <c r="B18" s="12"/>
      <c r="C18" s="14"/>
      <c r="D18" s="15"/>
      <c r="E18" s="15"/>
      <c r="F18" s="14"/>
      <c r="G18" s="14"/>
      <c r="H18" s="15"/>
      <c r="I18" s="13"/>
      <c r="J18" s="13"/>
      <c r="K18" s="14"/>
      <c r="L18" s="16"/>
      <c r="M18" s="16"/>
      <c r="N18" s="13"/>
      <c r="O18" s="13"/>
      <c r="P18" s="13"/>
      <c r="Q18" s="13"/>
      <c r="R18" s="17">
        <f t="shared" ref="R18:R19" si="110">S18/8*1000</f>
        <v>0</v>
      </c>
      <c r="S18" s="25">
        <f t="shared" ref="S18:S19" si="111">U18*V18/1000</f>
        <v>0</v>
      </c>
      <c r="T18" s="13"/>
      <c r="U18" s="15"/>
      <c r="V18" s="15"/>
      <c r="W18" s="15"/>
      <c r="X18" s="15"/>
      <c r="Y18" s="15"/>
      <c r="Z18" s="13"/>
      <c r="AA18" s="15" t="s">
        <v>29</v>
      </c>
      <c r="AB18" s="18" t="e">
        <f t="shared" ref="AB18:AB19" si="112">AD18/S18/1000</f>
        <v>#DIV/0!</v>
      </c>
      <c r="AC18" s="18">
        <v>0</v>
      </c>
      <c r="AD18" s="18">
        <v>0</v>
      </c>
      <c r="AE18" s="18">
        <f t="shared" ref="AE18:AE19" si="113">AC18+AD18</f>
        <v>0</v>
      </c>
      <c r="AF18" s="18">
        <v>0</v>
      </c>
      <c r="AG18" s="18">
        <f t="shared" ref="AG18:AG19" si="114">AF18-AD18</f>
        <v>0</v>
      </c>
      <c r="AH18" s="10" t="e">
        <f t="shared" ref="AH18:AH19" si="115">(AF18/AE18)-100%</f>
        <v>#DIV/0!</v>
      </c>
      <c r="AI18" s="13" t="s">
        <v>29</v>
      </c>
      <c r="AJ18" s="16"/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f t="shared" ref="AQ18:AQ19" si="116">AF18-AL18-AO18-AP18</f>
        <v>0</v>
      </c>
      <c r="AR18" s="13"/>
      <c r="AS18" s="22">
        <v>0</v>
      </c>
      <c r="AT18" s="15"/>
      <c r="AU18" s="14"/>
      <c r="AV18" s="26"/>
      <c r="AW18" s="14"/>
      <c r="AX18" s="15"/>
      <c r="AY18" s="14"/>
      <c r="AZ18" s="14"/>
      <c r="BA18" s="15"/>
      <c r="BB18" s="15">
        <f t="shared" ref="BB18:BB19" si="117">BA18-AU18</f>
        <v>0</v>
      </c>
      <c r="BC18" s="15"/>
      <c r="BD18" s="15">
        <f t="shared" ref="BD18:BD19" si="118">Y18</f>
        <v>0</v>
      </c>
      <c r="BE18" s="16"/>
      <c r="BF18" s="16">
        <f t="shared" ref="BF18:BF19" si="119">L18</f>
        <v>0</v>
      </c>
      <c r="BG18" s="58"/>
      <c r="BH18" s="32"/>
      <c r="BI18" s="62"/>
    </row>
    <row r="19" spans="1:61" s="11" customFormat="1" ht="24.95" customHeight="1" x14ac:dyDescent="0.25">
      <c r="A19" s="3"/>
      <c r="B19" s="3"/>
      <c r="C19" s="5"/>
      <c r="D19" s="6"/>
      <c r="E19" s="6"/>
      <c r="F19" s="5"/>
      <c r="G19" s="5"/>
      <c r="H19" s="6"/>
      <c r="I19" s="4"/>
      <c r="J19" s="4"/>
      <c r="K19" s="5"/>
      <c r="L19" s="7"/>
      <c r="M19" s="7"/>
      <c r="N19" s="4"/>
      <c r="O19" s="4"/>
      <c r="P19" s="4"/>
      <c r="Q19" s="4"/>
      <c r="R19" s="8">
        <f t="shared" si="110"/>
        <v>0</v>
      </c>
      <c r="S19" s="24">
        <f t="shared" si="111"/>
        <v>0</v>
      </c>
      <c r="T19" s="4"/>
      <c r="U19" s="6"/>
      <c r="V19" s="6"/>
      <c r="W19" s="6"/>
      <c r="X19" s="6"/>
      <c r="Y19" s="6"/>
      <c r="Z19" s="4"/>
      <c r="AA19" s="6" t="s">
        <v>29</v>
      </c>
      <c r="AB19" s="9" t="e">
        <f t="shared" si="112"/>
        <v>#DIV/0!</v>
      </c>
      <c r="AC19" s="9">
        <v>0</v>
      </c>
      <c r="AD19" s="9">
        <v>0</v>
      </c>
      <c r="AE19" s="9">
        <f t="shared" si="113"/>
        <v>0</v>
      </c>
      <c r="AF19" s="9">
        <v>0</v>
      </c>
      <c r="AG19" s="9">
        <f t="shared" si="114"/>
        <v>0</v>
      </c>
      <c r="AH19" s="10" t="e">
        <f t="shared" si="115"/>
        <v>#DIV/0!</v>
      </c>
      <c r="AI19" s="4" t="s">
        <v>29</v>
      </c>
      <c r="AJ19" s="7"/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f t="shared" si="116"/>
        <v>0</v>
      </c>
      <c r="AR19" s="4"/>
      <c r="AS19" s="21">
        <v>0</v>
      </c>
      <c r="AT19" s="6"/>
      <c r="AU19" s="5"/>
      <c r="AV19" s="23"/>
      <c r="AW19" s="5"/>
      <c r="AX19" s="6"/>
      <c r="AY19" s="5"/>
      <c r="AZ19" s="5"/>
      <c r="BA19" s="6"/>
      <c r="BB19" s="6">
        <f t="shared" si="117"/>
        <v>0</v>
      </c>
      <c r="BC19" s="6"/>
      <c r="BD19" s="6">
        <f t="shared" si="118"/>
        <v>0</v>
      </c>
      <c r="BE19" s="7"/>
      <c r="BF19" s="7">
        <f t="shared" si="119"/>
        <v>0</v>
      </c>
      <c r="BG19" s="41"/>
      <c r="BH19" s="35"/>
      <c r="BI19" s="61"/>
    </row>
    <row r="20" spans="1:61" s="20" customFormat="1" ht="24.95" customHeight="1" x14ac:dyDescent="0.25">
      <c r="A20" s="12"/>
      <c r="B20" s="12"/>
      <c r="C20" s="14"/>
      <c r="D20" s="15"/>
      <c r="E20" s="15"/>
      <c r="F20" s="14"/>
      <c r="G20" s="14"/>
      <c r="H20" s="15"/>
      <c r="I20" s="13"/>
      <c r="J20" s="13"/>
      <c r="K20" s="14"/>
      <c r="L20" s="16"/>
      <c r="M20" s="16"/>
      <c r="N20" s="13"/>
      <c r="O20" s="13"/>
      <c r="P20" s="13"/>
      <c r="Q20" s="13"/>
      <c r="R20" s="17">
        <f t="shared" si="80"/>
        <v>0</v>
      </c>
      <c r="S20" s="25">
        <f t="shared" si="81"/>
        <v>0</v>
      </c>
      <c r="T20" s="13"/>
      <c r="U20" s="15"/>
      <c r="V20" s="15"/>
      <c r="W20" s="15"/>
      <c r="X20" s="15"/>
      <c r="Y20" s="15"/>
      <c r="Z20" s="13"/>
      <c r="AA20" s="15" t="s">
        <v>29</v>
      </c>
      <c r="AB20" s="18" t="e">
        <f t="shared" si="82"/>
        <v>#DIV/0!</v>
      </c>
      <c r="AC20" s="18">
        <v>0</v>
      </c>
      <c r="AD20" s="18">
        <v>0</v>
      </c>
      <c r="AE20" s="18">
        <f t="shared" si="83"/>
        <v>0</v>
      </c>
      <c r="AF20" s="18">
        <v>0</v>
      </c>
      <c r="AG20" s="18">
        <f t="shared" si="84"/>
        <v>0</v>
      </c>
      <c r="AH20" s="19" t="e">
        <f t="shared" si="85"/>
        <v>#DIV/0!</v>
      </c>
      <c r="AI20" s="13" t="s">
        <v>29</v>
      </c>
      <c r="AJ20" s="16"/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f t="shared" si="86"/>
        <v>0</v>
      </c>
      <c r="AR20" s="13"/>
      <c r="AS20" s="22">
        <v>0</v>
      </c>
      <c r="AT20" s="15"/>
      <c r="AU20" s="14"/>
      <c r="AV20" s="26"/>
      <c r="AW20" s="14"/>
      <c r="AX20" s="15"/>
      <c r="AY20" s="14"/>
      <c r="AZ20" s="14"/>
      <c r="BA20" s="15"/>
      <c r="BB20" s="15">
        <f t="shared" si="87"/>
        <v>0</v>
      </c>
      <c r="BC20" s="15"/>
      <c r="BD20" s="15">
        <f t="shared" si="88"/>
        <v>0</v>
      </c>
      <c r="BE20" s="16"/>
      <c r="BF20" s="16">
        <f t="shared" si="89"/>
        <v>0</v>
      </c>
      <c r="BG20" s="58"/>
      <c r="BH20" s="32"/>
      <c r="BI20" s="62"/>
    </row>
    <row r="21" spans="1:61" s="11" customFormat="1" ht="24.95" customHeight="1" x14ac:dyDescent="0.25">
      <c r="A21" s="3"/>
      <c r="B21" s="3"/>
      <c r="C21" s="5"/>
      <c r="D21" s="6"/>
      <c r="E21" s="6"/>
      <c r="F21" s="5"/>
      <c r="G21" s="5"/>
      <c r="H21" s="6"/>
      <c r="I21" s="4"/>
      <c r="J21" s="4"/>
      <c r="K21" s="5"/>
      <c r="L21" s="7"/>
      <c r="M21" s="7"/>
      <c r="N21" s="4"/>
      <c r="O21" s="4"/>
      <c r="P21" s="4"/>
      <c r="Q21" s="4"/>
      <c r="R21" s="8"/>
      <c r="S21" s="24"/>
      <c r="T21" s="4"/>
      <c r="U21" s="6"/>
      <c r="V21" s="6"/>
      <c r="W21" s="6"/>
      <c r="X21" s="6"/>
      <c r="Y21" s="6"/>
      <c r="Z21" s="4"/>
      <c r="AA21" s="6"/>
      <c r="AB21" s="9"/>
      <c r="AC21" s="9"/>
      <c r="AD21" s="9"/>
      <c r="AE21" s="9"/>
      <c r="AF21" s="9"/>
      <c r="AG21" s="9"/>
      <c r="AH21" s="10"/>
      <c r="AI21" s="4"/>
      <c r="AJ21" s="7"/>
      <c r="AK21" s="9"/>
      <c r="AL21" s="9"/>
      <c r="AM21" s="9"/>
      <c r="AN21" s="9"/>
      <c r="AO21" s="9"/>
      <c r="AP21" s="9"/>
      <c r="AQ21" s="9"/>
      <c r="AR21" s="4"/>
      <c r="AS21" s="21"/>
      <c r="AT21" s="6"/>
      <c r="AU21" s="5"/>
      <c r="AV21" s="23"/>
      <c r="AW21" s="5"/>
      <c r="AX21" s="6"/>
      <c r="AY21" s="5"/>
      <c r="AZ21" s="5"/>
      <c r="BA21" s="6"/>
      <c r="BB21" s="6"/>
      <c r="BC21" s="6"/>
      <c r="BD21" s="6"/>
      <c r="BE21" s="7"/>
      <c r="BF21" s="7"/>
      <c r="BG21" s="41"/>
      <c r="BH21" s="35"/>
      <c r="BI21" s="61"/>
    </row>
    <row r="22" spans="1:61" s="20" customFormat="1" ht="24.95" customHeight="1" x14ac:dyDescent="0.25">
      <c r="A22" s="12"/>
      <c r="B22" s="12"/>
      <c r="C22" s="14"/>
      <c r="D22" s="15"/>
      <c r="E22" s="15"/>
      <c r="F22" s="14"/>
      <c r="G22" s="14"/>
      <c r="H22" s="15"/>
      <c r="I22" s="13"/>
      <c r="J22" s="13"/>
      <c r="K22" s="14"/>
      <c r="L22" s="16"/>
      <c r="M22" s="16"/>
      <c r="N22" s="13"/>
      <c r="O22" s="13"/>
      <c r="P22" s="13"/>
      <c r="Q22" s="13"/>
      <c r="R22" s="17"/>
      <c r="S22" s="25"/>
      <c r="T22" s="13"/>
      <c r="U22" s="15"/>
      <c r="V22" s="15"/>
      <c r="W22" s="15"/>
      <c r="X22" s="15"/>
      <c r="Y22" s="15"/>
      <c r="Z22" s="13"/>
      <c r="AA22" s="15"/>
      <c r="AB22" s="18"/>
      <c r="AC22" s="18"/>
      <c r="AD22" s="18"/>
      <c r="AE22" s="18"/>
      <c r="AF22" s="18"/>
      <c r="AG22" s="18"/>
      <c r="AH22" s="19"/>
      <c r="AI22" s="13"/>
      <c r="AJ22" s="16"/>
      <c r="AK22" s="18"/>
      <c r="AL22" s="18"/>
      <c r="AM22" s="18"/>
      <c r="AN22" s="18"/>
      <c r="AO22" s="18"/>
      <c r="AP22" s="18"/>
      <c r="AQ22" s="18"/>
      <c r="AR22" s="13"/>
      <c r="AS22" s="22"/>
      <c r="AT22" s="15"/>
      <c r="AU22" s="14"/>
      <c r="AV22" s="26"/>
      <c r="AW22" s="14"/>
      <c r="AX22" s="15"/>
      <c r="AY22" s="14"/>
      <c r="AZ22" s="14"/>
      <c r="BA22" s="15"/>
      <c r="BB22" s="15"/>
      <c r="BC22" s="15"/>
      <c r="BD22" s="15"/>
      <c r="BE22" s="16"/>
      <c r="BF22" s="16"/>
      <c r="BG22" s="58"/>
      <c r="BH22" s="32"/>
      <c r="BI22" s="62"/>
    </row>
    <row r="23" spans="1:61" s="11" customFormat="1" ht="24.95" customHeight="1" x14ac:dyDescent="0.25">
      <c r="A23" s="3"/>
      <c r="B23" s="3"/>
      <c r="C23" s="5"/>
      <c r="D23" s="6"/>
      <c r="E23" s="6"/>
      <c r="F23" s="5"/>
      <c r="G23" s="5"/>
      <c r="H23" s="6"/>
      <c r="I23" s="4"/>
      <c r="J23" s="4"/>
      <c r="K23" s="5"/>
      <c r="L23" s="7"/>
      <c r="M23" s="7"/>
      <c r="N23" s="4"/>
      <c r="O23" s="4"/>
      <c r="P23" s="4"/>
      <c r="Q23" s="4"/>
      <c r="R23" s="8"/>
      <c r="S23" s="24"/>
      <c r="T23" s="4"/>
      <c r="U23" s="6"/>
      <c r="V23" s="6"/>
      <c r="W23" s="6"/>
      <c r="X23" s="6"/>
      <c r="Y23" s="6"/>
      <c r="Z23" s="4"/>
      <c r="AA23" s="6"/>
      <c r="AB23" s="9"/>
      <c r="AC23" s="9"/>
      <c r="AD23" s="9"/>
      <c r="AE23" s="9"/>
      <c r="AF23" s="9"/>
      <c r="AG23" s="9"/>
      <c r="AH23" s="10"/>
      <c r="AI23" s="4"/>
      <c r="AJ23" s="7"/>
      <c r="AK23" s="9"/>
      <c r="AL23" s="9"/>
      <c r="AM23" s="9"/>
      <c r="AN23" s="9"/>
      <c r="AO23" s="9"/>
      <c r="AP23" s="9"/>
      <c r="AQ23" s="9"/>
      <c r="AR23" s="4"/>
      <c r="AS23" s="21"/>
      <c r="AT23" s="6"/>
      <c r="AU23" s="5"/>
      <c r="AV23" s="23"/>
      <c r="AW23" s="5"/>
      <c r="AX23" s="6"/>
      <c r="AY23" s="5"/>
      <c r="AZ23" s="5"/>
      <c r="BA23" s="6"/>
      <c r="BB23" s="6"/>
      <c r="BC23" s="6"/>
      <c r="BD23" s="6"/>
      <c r="BE23" s="7"/>
      <c r="BF23" s="7"/>
      <c r="BG23" s="41"/>
      <c r="BH23" s="35"/>
      <c r="BI23" s="61"/>
    </row>
    <row r="24" spans="1:61" s="20" customFormat="1" ht="24.95" customHeight="1" x14ac:dyDescent="0.25">
      <c r="A24" s="12"/>
      <c r="B24" s="12"/>
      <c r="C24" s="14"/>
      <c r="D24" s="15"/>
      <c r="E24" s="15"/>
      <c r="F24" s="14"/>
      <c r="G24" s="14"/>
      <c r="H24" s="15"/>
      <c r="I24" s="13"/>
      <c r="J24" s="13"/>
      <c r="K24" s="14"/>
      <c r="L24" s="16"/>
      <c r="M24" s="16"/>
      <c r="N24" s="13"/>
      <c r="O24" s="13"/>
      <c r="P24" s="13"/>
      <c r="Q24" s="13"/>
      <c r="R24" s="17"/>
      <c r="S24" s="25"/>
      <c r="T24" s="13"/>
      <c r="U24" s="15"/>
      <c r="V24" s="15"/>
      <c r="W24" s="15"/>
      <c r="X24" s="15"/>
      <c r="Y24" s="15"/>
      <c r="Z24" s="13"/>
      <c r="AA24" s="15"/>
      <c r="AB24" s="18"/>
      <c r="AC24" s="18"/>
      <c r="AD24" s="18"/>
      <c r="AE24" s="18"/>
      <c r="AF24" s="18"/>
      <c r="AG24" s="18"/>
      <c r="AH24" s="10"/>
      <c r="AI24" s="13"/>
      <c r="AJ24" s="16"/>
      <c r="AK24" s="18"/>
      <c r="AL24" s="18"/>
      <c r="AM24" s="18"/>
      <c r="AN24" s="18"/>
      <c r="AO24" s="18"/>
      <c r="AP24" s="18"/>
      <c r="AQ24" s="18"/>
      <c r="AR24" s="13"/>
      <c r="AS24" s="22"/>
      <c r="AT24" s="15"/>
      <c r="AU24" s="14"/>
      <c r="AV24" s="26"/>
      <c r="AW24" s="14"/>
      <c r="AX24" s="15"/>
      <c r="AY24" s="14"/>
      <c r="AZ24" s="14"/>
      <c r="BA24" s="15"/>
      <c r="BB24" s="15"/>
      <c r="BC24" s="15"/>
      <c r="BD24" s="15"/>
      <c r="BE24" s="16"/>
      <c r="BF24" s="16"/>
      <c r="BG24" s="58"/>
      <c r="BH24" s="32"/>
      <c r="BI24" s="62"/>
    </row>
    <row r="25" spans="1:61" s="11" customFormat="1" ht="24.95" customHeight="1" x14ac:dyDescent="0.25">
      <c r="A25" s="3"/>
      <c r="B25" s="3"/>
      <c r="C25" s="5"/>
      <c r="D25" s="6"/>
      <c r="E25" s="6"/>
      <c r="F25" s="5"/>
      <c r="G25" s="5"/>
      <c r="H25" s="6"/>
      <c r="I25" s="4"/>
      <c r="J25" s="4"/>
      <c r="K25" s="5"/>
      <c r="L25" s="7"/>
      <c r="M25" s="7"/>
      <c r="N25" s="4"/>
      <c r="O25" s="4"/>
      <c r="P25" s="4"/>
      <c r="Q25" s="4"/>
      <c r="R25" s="8"/>
      <c r="S25" s="24"/>
      <c r="T25" s="4"/>
      <c r="U25" s="6"/>
      <c r="V25" s="6"/>
      <c r="W25" s="6"/>
      <c r="X25" s="6"/>
      <c r="Y25" s="6"/>
      <c r="Z25" s="4"/>
      <c r="AA25" s="6"/>
      <c r="AB25" s="9"/>
      <c r="AC25" s="9"/>
      <c r="AD25" s="9"/>
      <c r="AE25" s="9"/>
      <c r="AF25" s="9"/>
      <c r="AG25" s="9"/>
      <c r="AH25" s="10"/>
      <c r="AI25" s="4"/>
      <c r="AJ25" s="7"/>
      <c r="AK25" s="9"/>
      <c r="AL25" s="9"/>
      <c r="AM25" s="9"/>
      <c r="AN25" s="9"/>
      <c r="AO25" s="9"/>
      <c r="AP25" s="9"/>
      <c r="AQ25" s="9"/>
      <c r="AR25" s="4"/>
      <c r="AS25" s="21"/>
      <c r="AT25" s="6"/>
      <c r="AU25" s="5"/>
      <c r="AV25" s="23"/>
      <c r="AW25" s="5"/>
      <c r="AX25" s="6"/>
      <c r="AY25" s="5"/>
      <c r="AZ25" s="5"/>
      <c r="BA25" s="6"/>
      <c r="BB25" s="6"/>
      <c r="BC25" s="6"/>
      <c r="BD25" s="6"/>
      <c r="BE25" s="7"/>
      <c r="BF25" s="7"/>
      <c r="BG25" s="41"/>
      <c r="BH25" s="35"/>
      <c r="BI25" s="61"/>
    </row>
    <row r="26" spans="1:61" s="20" customFormat="1" ht="24.95" customHeight="1" x14ac:dyDescent="0.25">
      <c r="A26" s="12"/>
      <c r="B26" s="12"/>
      <c r="C26" s="14"/>
      <c r="D26" s="15"/>
      <c r="E26" s="15"/>
      <c r="F26" s="14"/>
      <c r="G26" s="14"/>
      <c r="H26" s="15"/>
      <c r="I26" s="13"/>
      <c r="J26" s="13"/>
      <c r="K26" s="14"/>
      <c r="L26" s="16"/>
      <c r="M26" s="16"/>
      <c r="N26" s="13"/>
      <c r="O26" s="13"/>
      <c r="P26" s="13"/>
      <c r="Q26" s="13"/>
      <c r="R26" s="17"/>
      <c r="S26" s="25"/>
      <c r="T26" s="13"/>
      <c r="U26" s="15"/>
      <c r="V26" s="15"/>
      <c r="W26" s="15"/>
      <c r="X26" s="15"/>
      <c r="Y26" s="15"/>
      <c r="Z26" s="13"/>
      <c r="AA26" s="15"/>
      <c r="AB26" s="18"/>
      <c r="AC26" s="18"/>
      <c r="AD26" s="18"/>
      <c r="AE26" s="18"/>
      <c r="AF26" s="18"/>
      <c r="AG26" s="18"/>
      <c r="AH26" s="19"/>
      <c r="AI26" s="13"/>
      <c r="AJ26" s="16"/>
      <c r="AK26" s="18"/>
      <c r="AL26" s="18"/>
      <c r="AM26" s="18"/>
      <c r="AN26" s="18"/>
      <c r="AO26" s="18"/>
      <c r="AP26" s="18"/>
      <c r="AQ26" s="18"/>
      <c r="AR26" s="13"/>
      <c r="AS26" s="22"/>
      <c r="AT26" s="15"/>
      <c r="AU26" s="14"/>
      <c r="AV26" s="26"/>
      <c r="AW26" s="14"/>
      <c r="AX26" s="15"/>
      <c r="AY26" s="14"/>
      <c r="AZ26" s="14"/>
      <c r="BA26" s="15"/>
      <c r="BB26" s="15"/>
      <c r="BC26" s="15"/>
      <c r="BD26" s="15"/>
      <c r="BE26" s="16"/>
      <c r="BF26" s="16"/>
      <c r="BG26" s="58"/>
      <c r="BH26" s="32"/>
      <c r="BI26" s="62"/>
    </row>
    <row r="27" spans="1:61" s="11" customFormat="1" ht="24.95" customHeight="1" x14ac:dyDescent="0.25">
      <c r="A27" s="3"/>
      <c r="B27" s="3"/>
      <c r="C27" s="5"/>
      <c r="D27" s="6"/>
      <c r="E27" s="6"/>
      <c r="F27" s="5"/>
      <c r="G27" s="5"/>
      <c r="H27" s="6"/>
      <c r="I27" s="4"/>
      <c r="J27" s="4"/>
      <c r="K27" s="5"/>
      <c r="L27" s="7"/>
      <c r="M27" s="7"/>
      <c r="N27" s="4"/>
      <c r="O27" s="4"/>
      <c r="P27" s="4"/>
      <c r="Q27" s="4"/>
      <c r="R27" s="8"/>
      <c r="S27" s="24"/>
      <c r="T27" s="4"/>
      <c r="U27" s="6"/>
      <c r="V27" s="6"/>
      <c r="W27" s="6"/>
      <c r="X27" s="6"/>
      <c r="Y27" s="6"/>
      <c r="Z27" s="4"/>
      <c r="AA27" s="6"/>
      <c r="AB27" s="9"/>
      <c r="AC27" s="9"/>
      <c r="AD27" s="9"/>
      <c r="AE27" s="9"/>
      <c r="AF27" s="9"/>
      <c r="AG27" s="9"/>
      <c r="AH27" s="10"/>
      <c r="AI27" s="4"/>
      <c r="AJ27" s="7"/>
      <c r="AK27" s="9"/>
      <c r="AL27" s="9"/>
      <c r="AM27" s="9"/>
      <c r="AN27" s="9"/>
      <c r="AO27" s="9"/>
      <c r="AP27" s="9"/>
      <c r="AQ27" s="9"/>
      <c r="AR27" s="4"/>
      <c r="AS27" s="21"/>
      <c r="AT27" s="6"/>
      <c r="AU27" s="5"/>
      <c r="AV27" s="23"/>
      <c r="AW27" s="5"/>
      <c r="AX27" s="6"/>
      <c r="AY27" s="5"/>
      <c r="AZ27" s="5"/>
      <c r="BA27" s="6"/>
      <c r="BB27" s="6"/>
      <c r="BC27" s="6"/>
      <c r="BD27" s="6"/>
      <c r="BE27" s="7"/>
      <c r="BF27" s="7"/>
      <c r="BG27" s="41"/>
      <c r="BH27" s="35"/>
      <c r="BI27" s="61"/>
    </row>
    <row r="28" spans="1:61" s="20" customFormat="1" ht="24.95" customHeight="1" x14ac:dyDescent="0.25">
      <c r="A28" s="12"/>
      <c r="B28" s="12"/>
      <c r="C28" s="14"/>
      <c r="D28" s="15"/>
      <c r="E28" s="15"/>
      <c r="F28" s="14"/>
      <c r="G28" s="14"/>
      <c r="H28" s="15"/>
      <c r="I28" s="13"/>
      <c r="J28" s="13"/>
      <c r="K28" s="14"/>
      <c r="L28" s="16"/>
      <c r="M28" s="16"/>
      <c r="N28" s="13"/>
      <c r="O28" s="13"/>
      <c r="P28" s="13"/>
      <c r="Q28" s="13"/>
      <c r="R28" s="17"/>
      <c r="S28" s="25"/>
      <c r="T28" s="13"/>
      <c r="U28" s="15"/>
      <c r="V28" s="15"/>
      <c r="W28" s="15"/>
      <c r="X28" s="15"/>
      <c r="Y28" s="15"/>
      <c r="Z28" s="13"/>
      <c r="AA28" s="15"/>
      <c r="AB28" s="18"/>
      <c r="AC28" s="18"/>
      <c r="AD28" s="18"/>
      <c r="AE28" s="18"/>
      <c r="AF28" s="18"/>
      <c r="AG28" s="18"/>
      <c r="AH28" s="10"/>
      <c r="AI28" s="13"/>
      <c r="AJ28" s="16"/>
      <c r="AK28" s="18"/>
      <c r="AL28" s="18"/>
      <c r="AM28" s="18"/>
      <c r="AN28" s="18"/>
      <c r="AO28" s="18"/>
      <c r="AP28" s="18"/>
      <c r="AQ28" s="18"/>
      <c r="AR28" s="13"/>
      <c r="AS28" s="22"/>
      <c r="AT28" s="15"/>
      <c r="AU28" s="14"/>
      <c r="AV28" s="26"/>
      <c r="AW28" s="14"/>
      <c r="AX28" s="15"/>
      <c r="AY28" s="14"/>
      <c r="AZ28" s="14"/>
      <c r="BA28" s="15"/>
      <c r="BB28" s="15"/>
      <c r="BC28" s="15"/>
      <c r="BD28" s="15"/>
      <c r="BE28" s="16"/>
      <c r="BF28" s="16"/>
      <c r="BG28" s="58"/>
      <c r="BH28" s="32"/>
      <c r="BI28" s="62"/>
    </row>
    <row r="29" spans="1:61" s="11" customFormat="1" ht="24.95" customHeight="1" x14ac:dyDescent="0.25">
      <c r="A29" s="3"/>
      <c r="B29" s="3"/>
      <c r="C29" s="5"/>
      <c r="D29" s="6"/>
      <c r="E29" s="6"/>
      <c r="F29" s="5"/>
      <c r="G29" s="5"/>
      <c r="H29" s="6"/>
      <c r="I29" s="4"/>
      <c r="J29" s="4"/>
      <c r="K29" s="5"/>
      <c r="L29" s="7"/>
      <c r="M29" s="7"/>
      <c r="N29" s="4"/>
      <c r="O29" s="4"/>
      <c r="P29" s="4"/>
      <c r="Q29" s="4"/>
      <c r="R29" s="8"/>
      <c r="S29" s="24"/>
      <c r="T29" s="4"/>
      <c r="U29" s="6"/>
      <c r="V29" s="6"/>
      <c r="W29" s="6"/>
      <c r="X29" s="6"/>
      <c r="Y29" s="6"/>
      <c r="Z29" s="4"/>
      <c r="AA29" s="6"/>
      <c r="AB29" s="9"/>
      <c r="AC29" s="9"/>
      <c r="AD29" s="9"/>
      <c r="AE29" s="9"/>
      <c r="AF29" s="9"/>
      <c r="AG29" s="9"/>
      <c r="AH29" s="19"/>
      <c r="AI29" s="4"/>
      <c r="AJ29" s="7"/>
      <c r="AK29" s="9"/>
      <c r="AL29" s="9"/>
      <c r="AM29" s="9"/>
      <c r="AN29" s="9"/>
      <c r="AO29" s="9"/>
      <c r="AP29" s="9"/>
      <c r="AQ29" s="9"/>
      <c r="AR29" s="4"/>
      <c r="AS29" s="21"/>
      <c r="AT29" s="6"/>
      <c r="AU29" s="5"/>
      <c r="AV29" s="23"/>
      <c r="AW29" s="5"/>
      <c r="AX29" s="6"/>
      <c r="AY29" s="5"/>
      <c r="AZ29" s="5"/>
      <c r="BA29" s="6"/>
      <c r="BB29" s="6"/>
      <c r="BC29" s="6"/>
      <c r="BD29" s="6"/>
      <c r="BE29" s="7"/>
      <c r="BF29" s="7"/>
      <c r="BG29" s="41"/>
      <c r="BH29" s="35"/>
      <c r="BI29" s="61"/>
    </row>
    <row r="30" spans="1:61" s="20" customFormat="1" ht="24.95" customHeight="1" x14ac:dyDescent="0.25">
      <c r="A30" s="12"/>
      <c r="B30" s="12"/>
      <c r="C30" s="14"/>
      <c r="D30" s="15"/>
      <c r="E30" s="15"/>
      <c r="F30" s="14"/>
      <c r="G30" s="14"/>
      <c r="H30" s="15"/>
      <c r="I30" s="13"/>
      <c r="J30" s="13"/>
      <c r="K30" s="14"/>
      <c r="L30" s="16"/>
      <c r="M30" s="16"/>
      <c r="N30" s="13"/>
      <c r="O30" s="13"/>
      <c r="P30" s="13"/>
      <c r="Q30" s="13"/>
      <c r="R30" s="17"/>
      <c r="S30" s="25"/>
      <c r="T30" s="13"/>
      <c r="U30" s="15"/>
      <c r="V30" s="15"/>
      <c r="W30" s="15"/>
      <c r="X30" s="15"/>
      <c r="Y30" s="15"/>
      <c r="Z30" s="13"/>
      <c r="AA30" s="15"/>
      <c r="AB30" s="18"/>
      <c r="AC30" s="18"/>
      <c r="AD30" s="18"/>
      <c r="AE30" s="18"/>
      <c r="AF30" s="18"/>
      <c r="AG30" s="18"/>
      <c r="AH30" s="10"/>
      <c r="AI30" s="13"/>
      <c r="AJ30" s="16"/>
      <c r="AK30" s="18"/>
      <c r="AL30" s="18"/>
      <c r="AM30" s="18"/>
      <c r="AN30" s="18"/>
      <c r="AO30" s="18"/>
      <c r="AP30" s="18"/>
      <c r="AQ30" s="18"/>
      <c r="AR30" s="13"/>
      <c r="AS30" s="22"/>
      <c r="AT30" s="15"/>
      <c r="AU30" s="14"/>
      <c r="AV30" s="26"/>
      <c r="AW30" s="14"/>
      <c r="AX30" s="15"/>
      <c r="AY30" s="14"/>
      <c r="AZ30" s="14"/>
      <c r="BA30" s="15"/>
      <c r="BB30" s="15"/>
      <c r="BC30" s="15"/>
      <c r="BD30" s="15"/>
      <c r="BE30" s="16"/>
      <c r="BF30" s="16"/>
      <c r="BG30" s="58"/>
      <c r="BH30" s="32"/>
      <c r="BI30" s="62"/>
    </row>
    <row r="31" spans="1:61" s="11" customFormat="1" ht="24.95" customHeight="1" x14ac:dyDescent="0.25">
      <c r="A31" s="3"/>
      <c r="B31" s="3"/>
      <c r="C31" s="5"/>
      <c r="D31" s="6"/>
      <c r="E31" s="6"/>
      <c r="F31" s="5"/>
      <c r="G31" s="5"/>
      <c r="H31" s="6"/>
      <c r="I31" s="4"/>
      <c r="J31" s="4"/>
      <c r="K31" s="5"/>
      <c r="L31" s="7"/>
      <c r="M31" s="7"/>
      <c r="N31" s="4"/>
      <c r="O31" s="4"/>
      <c r="P31" s="4"/>
      <c r="Q31" s="4"/>
      <c r="R31" s="8"/>
      <c r="S31" s="24"/>
      <c r="T31" s="4"/>
      <c r="U31" s="6"/>
      <c r="V31" s="6"/>
      <c r="W31" s="6"/>
      <c r="X31" s="6"/>
      <c r="Y31" s="6"/>
      <c r="Z31" s="4"/>
      <c r="AA31" s="6"/>
      <c r="AB31" s="9"/>
      <c r="AC31" s="9"/>
      <c r="AD31" s="9"/>
      <c r="AE31" s="9"/>
      <c r="AF31" s="9"/>
      <c r="AG31" s="9"/>
      <c r="AH31" s="10"/>
      <c r="AI31" s="4"/>
      <c r="AJ31" s="7"/>
      <c r="AK31" s="9"/>
      <c r="AL31" s="9"/>
      <c r="AM31" s="9"/>
      <c r="AN31" s="9"/>
      <c r="AO31" s="9"/>
      <c r="AP31" s="9"/>
      <c r="AQ31" s="9"/>
      <c r="AR31" s="4"/>
      <c r="AS31" s="21"/>
      <c r="AT31" s="6"/>
      <c r="AU31" s="5"/>
      <c r="AV31" s="23"/>
      <c r="AW31" s="5"/>
      <c r="AX31" s="6"/>
      <c r="AY31" s="5"/>
      <c r="AZ31" s="5"/>
      <c r="BA31" s="6"/>
      <c r="BB31" s="6"/>
      <c r="BC31" s="6"/>
      <c r="BD31" s="6"/>
      <c r="BE31" s="7"/>
      <c r="BF31" s="7"/>
      <c r="BG31" s="41"/>
      <c r="BH31" s="35"/>
      <c r="BI31" s="61"/>
    </row>
    <row r="32" spans="1:61" s="20" customFormat="1" ht="24.95" customHeight="1" x14ac:dyDescent="0.25">
      <c r="A32" s="12"/>
      <c r="B32" s="12"/>
      <c r="C32" s="14"/>
      <c r="D32" s="15"/>
      <c r="E32" s="15"/>
      <c r="F32" s="14"/>
      <c r="G32" s="14"/>
      <c r="H32" s="15"/>
      <c r="I32" s="13"/>
      <c r="J32" s="13"/>
      <c r="K32" s="14"/>
      <c r="L32" s="16"/>
      <c r="M32" s="16"/>
      <c r="N32" s="13"/>
      <c r="O32" s="13"/>
      <c r="P32" s="13"/>
      <c r="Q32" s="13"/>
      <c r="R32" s="17"/>
      <c r="S32" s="25"/>
      <c r="T32" s="13"/>
      <c r="U32" s="15"/>
      <c r="V32" s="15"/>
      <c r="W32" s="15"/>
      <c r="X32" s="15"/>
      <c r="Y32" s="15"/>
      <c r="Z32" s="13"/>
      <c r="AA32" s="15"/>
      <c r="AB32" s="18"/>
      <c r="AC32" s="18"/>
      <c r="AD32" s="18"/>
      <c r="AE32" s="18"/>
      <c r="AF32" s="18"/>
      <c r="AG32" s="18"/>
      <c r="AH32" s="19"/>
      <c r="AI32" s="13"/>
      <c r="AJ32" s="16"/>
      <c r="AK32" s="18"/>
      <c r="AL32" s="18"/>
      <c r="AM32" s="18"/>
      <c r="AN32" s="18"/>
      <c r="AO32" s="18"/>
      <c r="AP32" s="18"/>
      <c r="AQ32" s="18"/>
      <c r="AR32" s="13"/>
      <c r="AS32" s="22"/>
      <c r="AT32" s="15"/>
      <c r="AU32" s="14"/>
      <c r="AV32" s="26"/>
      <c r="AW32" s="14"/>
      <c r="AX32" s="15"/>
      <c r="AY32" s="14"/>
      <c r="AZ32" s="14"/>
      <c r="BA32" s="15"/>
      <c r="BB32" s="15"/>
      <c r="BC32" s="15"/>
      <c r="BD32" s="15"/>
      <c r="BE32" s="16"/>
      <c r="BF32" s="16"/>
      <c r="BG32" s="58"/>
      <c r="BH32" s="32"/>
      <c r="BI32" s="62"/>
    </row>
    <row r="33" spans="1:61" s="11" customFormat="1" ht="24.95" customHeight="1" x14ac:dyDescent="0.25">
      <c r="A33" s="3"/>
      <c r="B33" s="3"/>
      <c r="C33" s="5"/>
      <c r="D33" s="6"/>
      <c r="E33" s="6"/>
      <c r="F33" s="5"/>
      <c r="G33" s="5"/>
      <c r="H33" s="6"/>
      <c r="I33" s="4"/>
      <c r="J33" s="4"/>
      <c r="K33" s="5"/>
      <c r="L33" s="7"/>
      <c r="M33" s="7"/>
      <c r="N33" s="4"/>
      <c r="O33" s="4"/>
      <c r="P33" s="4"/>
      <c r="Q33" s="4"/>
      <c r="R33" s="8"/>
      <c r="S33" s="24"/>
      <c r="T33" s="4"/>
      <c r="U33" s="6"/>
      <c r="V33" s="6"/>
      <c r="W33" s="6"/>
      <c r="X33" s="6"/>
      <c r="Y33" s="6"/>
      <c r="Z33" s="4"/>
      <c r="AA33" s="6"/>
      <c r="AB33" s="9"/>
      <c r="AC33" s="9"/>
      <c r="AD33" s="9"/>
      <c r="AE33" s="9"/>
      <c r="AF33" s="9"/>
      <c r="AG33" s="9"/>
      <c r="AH33" s="10"/>
      <c r="AI33" s="4"/>
      <c r="AJ33" s="7"/>
      <c r="AK33" s="9"/>
      <c r="AL33" s="9"/>
      <c r="AM33" s="9"/>
      <c r="AN33" s="9"/>
      <c r="AO33" s="9"/>
      <c r="AP33" s="9"/>
      <c r="AQ33" s="9"/>
      <c r="AR33" s="4"/>
      <c r="AS33" s="21"/>
      <c r="AT33" s="6"/>
      <c r="AU33" s="5"/>
      <c r="AV33" s="23"/>
      <c r="AW33" s="5"/>
      <c r="AX33" s="6"/>
      <c r="AY33" s="5"/>
      <c r="AZ33" s="5"/>
      <c r="BA33" s="6"/>
      <c r="BB33" s="6"/>
      <c r="BC33" s="6"/>
      <c r="BD33" s="6"/>
      <c r="BE33" s="7"/>
      <c r="BF33" s="7"/>
      <c r="BG33" s="41"/>
      <c r="BH33" s="35"/>
      <c r="BI33" s="61"/>
    </row>
    <row r="34" spans="1:61" s="20" customFormat="1" ht="24.95" customHeight="1" x14ac:dyDescent="0.25">
      <c r="A34" s="12"/>
      <c r="B34" s="12"/>
      <c r="C34" s="14"/>
      <c r="D34" s="15"/>
      <c r="E34" s="15"/>
      <c r="F34" s="14"/>
      <c r="G34" s="14"/>
      <c r="H34" s="15"/>
      <c r="I34" s="13"/>
      <c r="J34" s="13"/>
      <c r="K34" s="14"/>
      <c r="L34" s="16"/>
      <c r="M34" s="16"/>
      <c r="N34" s="13"/>
      <c r="O34" s="13"/>
      <c r="P34" s="13"/>
      <c r="Q34" s="13"/>
      <c r="R34" s="17"/>
      <c r="S34" s="25"/>
      <c r="T34" s="13"/>
      <c r="U34" s="15"/>
      <c r="V34" s="15"/>
      <c r="W34" s="15"/>
      <c r="X34" s="15"/>
      <c r="Y34" s="15"/>
      <c r="Z34" s="13"/>
      <c r="AA34" s="15"/>
      <c r="AB34" s="18"/>
      <c r="AC34" s="18"/>
      <c r="AD34" s="18"/>
      <c r="AE34" s="18"/>
      <c r="AF34" s="18"/>
      <c r="AG34" s="18"/>
      <c r="AH34" s="19"/>
      <c r="AI34" s="13"/>
      <c r="AJ34" s="16"/>
      <c r="AK34" s="18"/>
      <c r="AL34" s="18"/>
      <c r="AM34" s="18"/>
      <c r="AN34" s="18"/>
      <c r="AO34" s="18"/>
      <c r="AP34" s="18"/>
      <c r="AQ34" s="18"/>
      <c r="AR34" s="13"/>
      <c r="AS34" s="22"/>
      <c r="AT34" s="15"/>
      <c r="AU34" s="14"/>
      <c r="AV34" s="26"/>
      <c r="AW34" s="14"/>
      <c r="AX34" s="15"/>
      <c r="AY34" s="14"/>
      <c r="AZ34" s="14"/>
      <c r="BA34" s="15"/>
      <c r="BB34" s="15"/>
      <c r="BC34" s="15"/>
      <c r="BD34" s="15"/>
      <c r="BE34" s="16"/>
      <c r="BF34" s="16"/>
      <c r="BG34" s="58"/>
      <c r="BH34" s="32"/>
      <c r="BI34" s="62"/>
    </row>
    <row r="35" spans="1:61" s="11" customFormat="1" ht="24.95" customHeight="1" x14ac:dyDescent="0.25">
      <c r="A35" s="3"/>
      <c r="B35" s="3"/>
      <c r="C35" s="5"/>
      <c r="D35" s="6"/>
      <c r="E35" s="6"/>
      <c r="F35" s="5"/>
      <c r="G35" s="5"/>
      <c r="H35" s="6"/>
      <c r="I35" s="4"/>
      <c r="J35" s="4"/>
      <c r="K35" s="5"/>
      <c r="L35" s="7"/>
      <c r="M35" s="7"/>
      <c r="N35" s="4"/>
      <c r="O35" s="4"/>
      <c r="P35" s="4"/>
      <c r="Q35" s="4"/>
      <c r="R35" s="8"/>
      <c r="S35" s="24"/>
      <c r="T35" s="4"/>
      <c r="U35" s="6"/>
      <c r="V35" s="6"/>
      <c r="W35" s="6"/>
      <c r="X35" s="6"/>
      <c r="Y35" s="6"/>
      <c r="Z35" s="4"/>
      <c r="AA35" s="6"/>
      <c r="AB35" s="9"/>
      <c r="AC35" s="9"/>
      <c r="AD35" s="9"/>
      <c r="AE35" s="9"/>
      <c r="AF35" s="9"/>
      <c r="AG35" s="9"/>
      <c r="AH35" s="10"/>
      <c r="AI35" s="4"/>
      <c r="AJ35" s="7"/>
      <c r="AK35" s="9"/>
      <c r="AL35" s="9"/>
      <c r="AM35" s="9"/>
      <c r="AN35" s="9"/>
      <c r="AO35" s="9"/>
      <c r="AP35" s="9"/>
      <c r="AQ35" s="9"/>
      <c r="AR35" s="4"/>
      <c r="AS35" s="21"/>
      <c r="AT35" s="6"/>
      <c r="AU35" s="5"/>
      <c r="AV35" s="23"/>
      <c r="AW35" s="5"/>
      <c r="AX35" s="6"/>
      <c r="AY35" s="5"/>
      <c r="AZ35" s="5"/>
      <c r="BA35" s="6"/>
      <c r="BB35" s="6"/>
      <c r="BC35" s="6"/>
      <c r="BD35" s="6"/>
      <c r="BE35" s="7"/>
      <c r="BF35" s="7"/>
      <c r="BG35" s="41"/>
      <c r="BH35" s="35"/>
      <c r="BI35" s="61"/>
    </row>
    <row r="36" spans="1:61" s="20" customFormat="1" ht="24.95" customHeight="1" x14ac:dyDescent="0.25">
      <c r="A36" s="12"/>
      <c r="B36" s="12"/>
      <c r="C36" s="14"/>
      <c r="D36" s="15"/>
      <c r="E36" s="15"/>
      <c r="F36" s="14"/>
      <c r="G36" s="14"/>
      <c r="H36" s="15"/>
      <c r="I36" s="13"/>
      <c r="J36" s="13"/>
      <c r="K36" s="14"/>
      <c r="L36" s="16"/>
      <c r="M36" s="16"/>
      <c r="N36" s="13"/>
      <c r="O36" s="13"/>
      <c r="P36" s="13"/>
      <c r="Q36" s="13"/>
      <c r="R36" s="17"/>
      <c r="S36" s="25"/>
      <c r="T36" s="13"/>
      <c r="U36" s="15"/>
      <c r="V36" s="15"/>
      <c r="W36" s="15"/>
      <c r="X36" s="15"/>
      <c r="Y36" s="15"/>
      <c r="Z36" s="13"/>
      <c r="AA36" s="15"/>
      <c r="AB36" s="18"/>
      <c r="AC36" s="18"/>
      <c r="AD36" s="18"/>
      <c r="AE36" s="18"/>
      <c r="AF36" s="18"/>
      <c r="AG36" s="18"/>
      <c r="AH36" s="19"/>
      <c r="AI36" s="13"/>
      <c r="AJ36" s="16"/>
      <c r="AK36" s="18"/>
      <c r="AL36" s="18"/>
      <c r="AM36" s="18"/>
      <c r="AN36" s="18"/>
      <c r="AO36" s="18"/>
      <c r="AP36" s="18"/>
      <c r="AQ36" s="18"/>
      <c r="AR36" s="13"/>
      <c r="AS36" s="22"/>
      <c r="AT36" s="15"/>
      <c r="AU36" s="14"/>
      <c r="AV36" s="26"/>
      <c r="AW36" s="14"/>
      <c r="AX36" s="15"/>
      <c r="AY36" s="14"/>
      <c r="AZ36" s="14"/>
      <c r="BA36" s="15"/>
      <c r="BB36" s="15"/>
      <c r="BC36" s="15"/>
      <c r="BD36" s="15"/>
      <c r="BE36" s="16"/>
      <c r="BF36" s="16"/>
      <c r="BG36" s="58"/>
      <c r="BH36" s="32"/>
      <c r="BI36" s="62"/>
    </row>
    <row r="37" spans="1:61" s="11" customFormat="1" ht="24.95" customHeight="1" x14ac:dyDescent="0.25">
      <c r="A37" s="3"/>
      <c r="B37" s="3"/>
      <c r="C37" s="5"/>
      <c r="D37" s="6"/>
      <c r="E37" s="6"/>
      <c r="F37" s="5"/>
      <c r="G37" s="5"/>
      <c r="H37" s="6"/>
      <c r="I37" s="4"/>
      <c r="J37" s="4"/>
      <c r="K37" s="5"/>
      <c r="L37" s="7"/>
      <c r="M37" s="7"/>
      <c r="N37" s="4"/>
      <c r="O37" s="4"/>
      <c r="P37" s="4"/>
      <c r="Q37" s="4"/>
      <c r="R37" s="8"/>
      <c r="S37" s="24"/>
      <c r="T37" s="4"/>
      <c r="U37" s="6"/>
      <c r="V37" s="6"/>
      <c r="W37" s="6"/>
      <c r="X37" s="6"/>
      <c r="Y37" s="6"/>
      <c r="Z37" s="4"/>
      <c r="AA37" s="6"/>
      <c r="AB37" s="9"/>
      <c r="AC37" s="9"/>
      <c r="AD37" s="9"/>
      <c r="AE37" s="9"/>
      <c r="AF37" s="9"/>
      <c r="AG37" s="9"/>
      <c r="AH37" s="10"/>
      <c r="AI37" s="4"/>
      <c r="AJ37" s="7"/>
      <c r="AK37" s="9"/>
      <c r="AL37" s="9"/>
      <c r="AM37" s="9"/>
      <c r="AN37" s="9"/>
      <c r="AO37" s="9"/>
      <c r="AP37" s="9"/>
      <c r="AQ37" s="9"/>
      <c r="AR37" s="4"/>
      <c r="AS37" s="21"/>
      <c r="AT37" s="6"/>
      <c r="AU37" s="5"/>
      <c r="AV37" s="23"/>
      <c r="AW37" s="5"/>
      <c r="AX37" s="6"/>
      <c r="AY37" s="5"/>
      <c r="AZ37" s="5"/>
      <c r="BA37" s="6"/>
      <c r="BB37" s="6"/>
      <c r="BC37" s="6"/>
      <c r="BD37" s="6"/>
      <c r="BE37" s="7"/>
      <c r="BF37" s="7"/>
      <c r="BG37" s="41"/>
      <c r="BH37" s="35"/>
      <c r="BI37" s="61"/>
    </row>
    <row r="38" spans="1:61" s="20" customFormat="1" ht="24.95" customHeight="1" x14ac:dyDescent="0.25">
      <c r="A38" s="12"/>
      <c r="B38" s="12"/>
      <c r="C38" s="14"/>
      <c r="D38" s="15"/>
      <c r="E38" s="15"/>
      <c r="F38" s="14"/>
      <c r="G38" s="14"/>
      <c r="H38" s="15"/>
      <c r="I38" s="13"/>
      <c r="J38" s="13"/>
      <c r="K38" s="14"/>
      <c r="L38" s="16"/>
      <c r="M38" s="16"/>
      <c r="N38" s="13"/>
      <c r="O38" s="13"/>
      <c r="P38" s="13"/>
      <c r="Q38" s="13"/>
      <c r="R38" s="17"/>
      <c r="S38" s="25"/>
      <c r="T38" s="13"/>
      <c r="U38" s="15"/>
      <c r="V38" s="15"/>
      <c r="W38" s="15"/>
      <c r="X38" s="15"/>
      <c r="Y38" s="15"/>
      <c r="Z38" s="13"/>
      <c r="AA38" s="15"/>
      <c r="AB38" s="18"/>
      <c r="AC38" s="18"/>
      <c r="AD38" s="18"/>
      <c r="AE38" s="18"/>
      <c r="AF38" s="18"/>
      <c r="AG38" s="18"/>
      <c r="AH38" s="19"/>
      <c r="AI38" s="13"/>
      <c r="AJ38" s="16"/>
      <c r="AK38" s="18"/>
      <c r="AL38" s="18"/>
      <c r="AM38" s="18"/>
      <c r="AN38" s="18"/>
      <c r="AO38" s="18"/>
      <c r="AP38" s="18"/>
      <c r="AQ38" s="18"/>
      <c r="AR38" s="13"/>
      <c r="AS38" s="22"/>
      <c r="AT38" s="15"/>
      <c r="AU38" s="14"/>
      <c r="AV38" s="26"/>
      <c r="AW38" s="14"/>
      <c r="AX38" s="15"/>
      <c r="AY38" s="14"/>
      <c r="AZ38" s="14"/>
      <c r="BA38" s="15"/>
      <c r="BB38" s="15"/>
      <c r="BC38" s="15"/>
      <c r="BD38" s="15"/>
      <c r="BE38" s="16"/>
      <c r="BF38" s="16"/>
      <c r="BG38" s="58"/>
      <c r="BH38" s="32"/>
      <c r="BI38" s="62"/>
    </row>
    <row r="39" spans="1:61" s="11" customFormat="1" ht="24.95" customHeight="1" x14ac:dyDescent="0.25">
      <c r="A39" s="3"/>
      <c r="B39" s="3"/>
      <c r="C39" s="5"/>
      <c r="D39" s="6"/>
      <c r="E39" s="6"/>
      <c r="F39" s="5"/>
      <c r="G39" s="5"/>
      <c r="H39" s="6"/>
      <c r="I39" s="4"/>
      <c r="J39" s="4"/>
      <c r="K39" s="5"/>
      <c r="L39" s="7"/>
      <c r="M39" s="7"/>
      <c r="N39" s="4"/>
      <c r="O39" s="4"/>
      <c r="P39" s="4"/>
      <c r="Q39" s="4"/>
      <c r="R39" s="8"/>
      <c r="S39" s="24"/>
      <c r="T39" s="4"/>
      <c r="U39" s="6"/>
      <c r="V39" s="6"/>
      <c r="W39" s="6"/>
      <c r="X39" s="6"/>
      <c r="Y39" s="6"/>
      <c r="Z39" s="4"/>
      <c r="AA39" s="6"/>
      <c r="AB39" s="9"/>
      <c r="AC39" s="9"/>
      <c r="AD39" s="9"/>
      <c r="AE39" s="9"/>
      <c r="AF39" s="9"/>
      <c r="AG39" s="9"/>
      <c r="AH39" s="10"/>
      <c r="AI39" s="4"/>
      <c r="AJ39" s="7"/>
      <c r="AK39" s="9"/>
      <c r="AL39" s="9"/>
      <c r="AM39" s="9"/>
      <c r="AN39" s="9"/>
      <c r="AO39" s="9"/>
      <c r="AP39" s="9"/>
      <c r="AQ39" s="9"/>
      <c r="AR39" s="4"/>
      <c r="AS39" s="21"/>
      <c r="AT39" s="6"/>
      <c r="AU39" s="5"/>
      <c r="AV39" s="23"/>
      <c r="AW39" s="5"/>
      <c r="AX39" s="6"/>
      <c r="AY39" s="5"/>
      <c r="AZ39" s="5"/>
      <c r="BA39" s="6"/>
      <c r="BB39" s="6"/>
      <c r="BC39" s="6"/>
      <c r="BD39" s="6"/>
      <c r="BE39" s="7"/>
      <c r="BF39" s="7"/>
      <c r="BG39" s="41"/>
      <c r="BH39" s="35"/>
      <c r="BI39" s="61"/>
    </row>
    <row r="40" spans="1:61" s="20" customFormat="1" ht="24.95" customHeight="1" x14ac:dyDescent="0.25">
      <c r="A40" s="12"/>
      <c r="B40" s="12"/>
      <c r="C40" s="14"/>
      <c r="D40" s="15"/>
      <c r="E40" s="15"/>
      <c r="F40" s="14"/>
      <c r="G40" s="14"/>
      <c r="H40" s="15"/>
      <c r="I40" s="42"/>
      <c r="J40" s="13"/>
      <c r="K40" s="14"/>
      <c r="L40" s="16"/>
      <c r="M40" s="16"/>
      <c r="N40" s="13"/>
      <c r="O40" s="13"/>
      <c r="P40" s="13"/>
      <c r="Q40" s="13"/>
      <c r="R40" s="17"/>
      <c r="S40" s="25"/>
      <c r="T40" s="13"/>
      <c r="U40" s="15"/>
      <c r="V40" s="15"/>
      <c r="W40" s="15"/>
      <c r="X40" s="15"/>
      <c r="Y40" s="15"/>
      <c r="Z40" s="13"/>
      <c r="AA40" s="15"/>
      <c r="AB40" s="18"/>
      <c r="AC40" s="18"/>
      <c r="AD40" s="18"/>
      <c r="AE40" s="18"/>
      <c r="AF40" s="18"/>
      <c r="AG40" s="18"/>
      <c r="AH40" s="19"/>
      <c r="AI40" s="13"/>
      <c r="AJ40" s="16"/>
      <c r="AK40" s="18"/>
      <c r="AL40" s="18"/>
      <c r="AM40" s="18"/>
      <c r="AN40" s="18"/>
      <c r="AO40" s="18"/>
      <c r="AP40" s="18"/>
      <c r="AQ40" s="18"/>
      <c r="AR40" s="13"/>
      <c r="AS40" s="22"/>
      <c r="AT40" s="15"/>
      <c r="AU40" s="14"/>
      <c r="AV40" s="26"/>
      <c r="AW40" s="14"/>
      <c r="AX40" s="15"/>
      <c r="AY40" s="14"/>
      <c r="AZ40" s="14"/>
      <c r="BA40" s="15"/>
      <c r="BB40" s="15"/>
      <c r="BC40" s="15"/>
      <c r="BD40" s="15"/>
      <c r="BE40" s="16"/>
      <c r="BF40" s="16"/>
      <c r="BG40" s="58"/>
      <c r="BH40" s="32"/>
      <c r="BI40" s="62"/>
    </row>
    <row r="41" spans="1:61" s="11" customFormat="1" ht="24.95" customHeight="1" x14ac:dyDescent="0.25">
      <c r="A41" s="3"/>
      <c r="B41" s="3"/>
      <c r="C41" s="5"/>
      <c r="D41" s="6"/>
      <c r="E41" s="6"/>
      <c r="F41" s="5"/>
      <c r="G41" s="5"/>
      <c r="H41" s="6"/>
      <c r="I41" s="4"/>
      <c r="J41" s="4"/>
      <c r="K41" s="5"/>
      <c r="L41" s="7"/>
      <c r="M41" s="7"/>
      <c r="N41" s="4"/>
      <c r="O41" s="4"/>
      <c r="P41" s="4"/>
      <c r="Q41" s="4"/>
      <c r="R41" s="8"/>
      <c r="S41" s="24"/>
      <c r="T41" s="4"/>
      <c r="U41" s="6"/>
      <c r="V41" s="6"/>
      <c r="W41" s="6"/>
      <c r="X41" s="6"/>
      <c r="Y41" s="6"/>
      <c r="Z41" s="4"/>
      <c r="AA41" s="6"/>
      <c r="AB41" s="9"/>
      <c r="AC41" s="9"/>
      <c r="AD41" s="9"/>
      <c r="AE41" s="9"/>
      <c r="AF41" s="9"/>
      <c r="AG41" s="9"/>
      <c r="AH41" s="10"/>
      <c r="AI41" s="4"/>
      <c r="AJ41" s="7"/>
      <c r="AK41" s="9"/>
      <c r="AL41" s="9"/>
      <c r="AM41" s="9"/>
      <c r="AN41" s="9"/>
      <c r="AO41" s="9"/>
      <c r="AP41" s="9"/>
      <c r="AQ41" s="9"/>
      <c r="AR41" s="4"/>
      <c r="AS41" s="21"/>
      <c r="AT41" s="6"/>
      <c r="AU41" s="5"/>
      <c r="AV41" s="23"/>
      <c r="AW41" s="5"/>
      <c r="AX41" s="6"/>
      <c r="AY41" s="5"/>
      <c r="AZ41" s="5"/>
      <c r="BA41" s="6"/>
      <c r="BB41" s="6"/>
      <c r="BC41" s="6"/>
      <c r="BD41" s="6"/>
      <c r="BE41" s="7"/>
      <c r="BF41" s="7"/>
      <c r="BG41" s="41"/>
      <c r="BH41" s="35"/>
      <c r="BI41" s="61"/>
    </row>
    <row r="42" spans="1:61" s="20" customFormat="1" ht="24.95" customHeight="1" x14ac:dyDescent="0.25">
      <c r="A42" s="12"/>
      <c r="B42" s="12"/>
      <c r="C42" s="14"/>
      <c r="D42" s="15"/>
      <c r="E42" s="15"/>
      <c r="F42" s="14"/>
      <c r="G42" s="14"/>
      <c r="H42" s="15"/>
      <c r="I42" s="13"/>
      <c r="J42" s="13"/>
      <c r="K42" s="14"/>
      <c r="L42" s="16"/>
      <c r="M42" s="16"/>
      <c r="N42" s="13"/>
      <c r="O42" s="13"/>
      <c r="P42" s="13"/>
      <c r="Q42" s="13"/>
      <c r="R42" s="17"/>
      <c r="S42" s="25"/>
      <c r="T42" s="13"/>
      <c r="U42" s="15"/>
      <c r="V42" s="15"/>
      <c r="W42" s="15"/>
      <c r="X42" s="15"/>
      <c r="Y42" s="15"/>
      <c r="Z42" s="13"/>
      <c r="AA42" s="15"/>
      <c r="AB42" s="18"/>
      <c r="AC42" s="18"/>
      <c r="AD42" s="18"/>
      <c r="AE42" s="18"/>
      <c r="AF42" s="18"/>
      <c r="AG42" s="18"/>
      <c r="AH42" s="19"/>
      <c r="AI42" s="13"/>
      <c r="AJ42" s="16"/>
      <c r="AK42" s="18"/>
      <c r="AL42" s="18"/>
      <c r="AM42" s="18"/>
      <c r="AN42" s="18"/>
      <c r="AO42" s="18"/>
      <c r="AP42" s="18"/>
      <c r="AQ42" s="18"/>
      <c r="AR42" s="13"/>
      <c r="AS42" s="22"/>
      <c r="AT42" s="15"/>
      <c r="AU42" s="14"/>
      <c r="AV42" s="26"/>
      <c r="AW42" s="14"/>
      <c r="AX42" s="15"/>
      <c r="AY42" s="14"/>
      <c r="AZ42" s="14"/>
      <c r="BA42" s="15"/>
      <c r="BB42" s="15"/>
      <c r="BC42" s="15"/>
      <c r="BD42" s="15"/>
      <c r="BE42" s="16"/>
      <c r="BF42" s="16"/>
      <c r="BG42" s="58"/>
      <c r="BH42" s="32"/>
      <c r="BI42" s="62"/>
    </row>
    <row r="43" spans="1:61" s="11" customFormat="1" ht="24.95" customHeight="1" x14ac:dyDescent="0.25">
      <c r="A43" s="3"/>
      <c r="B43" s="3"/>
      <c r="C43" s="5"/>
      <c r="D43" s="6"/>
      <c r="E43" s="6"/>
      <c r="F43" s="5"/>
      <c r="G43" s="5"/>
      <c r="H43" s="6"/>
      <c r="I43" s="4"/>
      <c r="J43" s="4"/>
      <c r="K43" s="5"/>
      <c r="L43" s="7"/>
      <c r="M43" s="7"/>
      <c r="N43" s="4"/>
      <c r="O43" s="4"/>
      <c r="P43" s="4"/>
      <c r="Q43" s="4"/>
      <c r="R43" s="8"/>
      <c r="S43" s="24"/>
      <c r="T43" s="4"/>
      <c r="U43" s="6"/>
      <c r="V43" s="6"/>
      <c r="W43" s="6"/>
      <c r="X43" s="6"/>
      <c r="Y43" s="6"/>
      <c r="Z43" s="4"/>
      <c r="AA43" s="6"/>
      <c r="AB43" s="9"/>
      <c r="AC43" s="9"/>
      <c r="AD43" s="9"/>
      <c r="AE43" s="9"/>
      <c r="AF43" s="9"/>
      <c r="AG43" s="9"/>
      <c r="AH43" s="10"/>
      <c r="AI43" s="4"/>
      <c r="AJ43" s="7"/>
      <c r="AK43" s="9"/>
      <c r="AL43" s="9"/>
      <c r="AM43" s="9"/>
      <c r="AN43" s="9"/>
      <c r="AO43" s="9"/>
      <c r="AP43" s="9"/>
      <c r="AQ43" s="9"/>
      <c r="AR43" s="4"/>
      <c r="AS43" s="21"/>
      <c r="AT43" s="6"/>
      <c r="AU43" s="5"/>
      <c r="AV43" s="23"/>
      <c r="AW43" s="5"/>
      <c r="AX43" s="6"/>
      <c r="AY43" s="5"/>
      <c r="AZ43" s="5"/>
      <c r="BA43" s="6"/>
      <c r="BB43" s="6"/>
      <c r="BC43" s="6"/>
      <c r="BD43" s="6"/>
      <c r="BE43" s="7"/>
      <c r="BF43" s="7"/>
      <c r="BG43" s="41"/>
      <c r="BH43" s="35"/>
      <c r="BI43" s="61"/>
    </row>
    <row r="44" spans="1:61" s="20" customFormat="1" ht="24.95" customHeight="1" x14ac:dyDescent="0.25">
      <c r="A44" s="12"/>
      <c r="B44" s="12"/>
      <c r="C44" s="14"/>
      <c r="D44" s="15"/>
      <c r="E44" s="15"/>
      <c r="F44" s="14"/>
      <c r="G44" s="14"/>
      <c r="H44" s="15"/>
      <c r="I44" s="13"/>
      <c r="J44" s="13"/>
      <c r="K44" s="14"/>
      <c r="L44" s="16"/>
      <c r="M44" s="16"/>
      <c r="N44" s="13"/>
      <c r="O44" s="13"/>
      <c r="P44" s="13"/>
      <c r="Q44" s="13"/>
      <c r="R44" s="17"/>
      <c r="S44" s="25"/>
      <c r="T44" s="13"/>
      <c r="U44" s="15"/>
      <c r="V44" s="15"/>
      <c r="W44" s="15"/>
      <c r="X44" s="15"/>
      <c r="Y44" s="15"/>
      <c r="Z44" s="13"/>
      <c r="AA44" s="15"/>
      <c r="AB44" s="18"/>
      <c r="AC44" s="18"/>
      <c r="AD44" s="18"/>
      <c r="AE44" s="18"/>
      <c r="AF44" s="18"/>
      <c r="AG44" s="18"/>
      <c r="AH44" s="19"/>
      <c r="AI44" s="13"/>
      <c r="AJ44" s="16"/>
      <c r="AK44" s="18"/>
      <c r="AL44" s="18"/>
      <c r="AM44" s="18"/>
      <c r="AN44" s="18"/>
      <c r="AO44" s="18"/>
      <c r="AP44" s="18"/>
      <c r="AQ44" s="18"/>
      <c r="AR44" s="13"/>
      <c r="AS44" s="22"/>
      <c r="AT44" s="15"/>
      <c r="AU44" s="14"/>
      <c r="AV44" s="26"/>
      <c r="AW44" s="14"/>
      <c r="AX44" s="15"/>
      <c r="AY44" s="14"/>
      <c r="AZ44" s="14"/>
      <c r="BA44" s="15"/>
      <c r="BB44" s="15"/>
      <c r="BC44" s="15"/>
      <c r="BD44" s="15"/>
      <c r="BE44" s="16"/>
      <c r="BF44" s="16"/>
      <c r="BG44" s="58"/>
      <c r="BH44" s="32"/>
      <c r="BI44" s="62"/>
    </row>
    <row r="45" spans="1:61" s="11" customFormat="1" ht="24.95" customHeight="1" x14ac:dyDescent="0.25">
      <c r="A45" s="3"/>
      <c r="B45" s="3"/>
      <c r="C45" s="5"/>
      <c r="D45" s="6"/>
      <c r="E45" s="6"/>
      <c r="F45" s="5"/>
      <c r="G45" s="5"/>
      <c r="H45" s="6"/>
      <c r="I45" s="4"/>
      <c r="J45" s="4"/>
      <c r="K45" s="5"/>
      <c r="L45" s="7"/>
      <c r="M45" s="7"/>
      <c r="N45" s="4"/>
      <c r="O45" s="4"/>
      <c r="P45" s="4"/>
      <c r="Q45" s="4"/>
      <c r="R45" s="8"/>
      <c r="S45" s="24"/>
      <c r="T45" s="4"/>
      <c r="U45" s="6"/>
      <c r="V45" s="6"/>
      <c r="W45" s="6"/>
      <c r="X45" s="6"/>
      <c r="Y45" s="6"/>
      <c r="Z45" s="4"/>
      <c r="AA45" s="6"/>
      <c r="AB45" s="9"/>
      <c r="AC45" s="9"/>
      <c r="AD45" s="9"/>
      <c r="AE45" s="9"/>
      <c r="AF45" s="9"/>
      <c r="AG45" s="9"/>
      <c r="AH45" s="10"/>
      <c r="AI45" s="4"/>
      <c r="AJ45" s="7"/>
      <c r="AK45" s="9"/>
      <c r="AL45" s="9"/>
      <c r="AM45" s="9"/>
      <c r="AN45" s="9"/>
      <c r="AO45" s="9"/>
      <c r="AP45" s="9"/>
      <c r="AQ45" s="9"/>
      <c r="AR45" s="4"/>
      <c r="AS45" s="21"/>
      <c r="AT45" s="6"/>
      <c r="AU45" s="5"/>
      <c r="AV45" s="23"/>
      <c r="AW45" s="5"/>
      <c r="AX45" s="6"/>
      <c r="AY45" s="5"/>
      <c r="AZ45" s="5"/>
      <c r="BA45" s="6"/>
      <c r="BB45" s="6"/>
      <c r="BC45" s="6"/>
      <c r="BD45" s="6"/>
      <c r="BE45" s="7"/>
      <c r="BF45" s="7"/>
      <c r="BG45" s="41"/>
      <c r="BH45" s="35"/>
      <c r="BI45" s="61"/>
    </row>
    <row r="46" spans="1:61" s="20" customFormat="1" ht="24.95" customHeight="1" x14ac:dyDescent="0.25">
      <c r="A46" s="12"/>
      <c r="B46" s="12"/>
      <c r="C46" s="14"/>
      <c r="D46" s="15"/>
      <c r="E46" s="15"/>
      <c r="F46" s="14"/>
      <c r="G46" s="14"/>
      <c r="H46" s="15"/>
      <c r="I46" s="13"/>
      <c r="J46" s="13"/>
      <c r="K46" s="14"/>
      <c r="L46" s="16"/>
      <c r="M46" s="16"/>
      <c r="N46" s="13"/>
      <c r="O46" s="13"/>
      <c r="P46" s="13"/>
      <c r="Q46" s="13"/>
      <c r="R46" s="17"/>
      <c r="S46" s="25"/>
      <c r="T46" s="13"/>
      <c r="U46" s="15"/>
      <c r="V46" s="15"/>
      <c r="W46" s="15"/>
      <c r="X46" s="15"/>
      <c r="Y46" s="15"/>
      <c r="Z46" s="13"/>
      <c r="AA46" s="15"/>
      <c r="AB46" s="18"/>
      <c r="AC46" s="18"/>
      <c r="AD46" s="18"/>
      <c r="AE46" s="18"/>
      <c r="AF46" s="18"/>
      <c r="AG46" s="18"/>
      <c r="AH46" s="19"/>
      <c r="AI46" s="13"/>
      <c r="AJ46" s="16"/>
      <c r="AK46" s="18"/>
      <c r="AL46" s="18"/>
      <c r="AM46" s="18"/>
      <c r="AN46" s="18"/>
      <c r="AO46" s="18"/>
      <c r="AP46" s="18"/>
      <c r="AQ46" s="18"/>
      <c r="AR46" s="13"/>
      <c r="AS46" s="22"/>
      <c r="AT46" s="15"/>
      <c r="AU46" s="14"/>
      <c r="AV46" s="26"/>
      <c r="AW46" s="14"/>
      <c r="AX46" s="15"/>
      <c r="AY46" s="14"/>
      <c r="AZ46" s="14"/>
      <c r="BA46" s="15"/>
      <c r="BB46" s="15"/>
      <c r="BC46" s="15"/>
      <c r="BD46" s="15"/>
      <c r="BE46" s="16"/>
      <c r="BF46" s="16"/>
      <c r="BG46" s="58"/>
      <c r="BH46" s="32"/>
      <c r="BI46" s="62"/>
    </row>
    <row r="47" spans="1:61" s="11" customFormat="1" ht="24.95" customHeight="1" x14ac:dyDescent="0.25">
      <c r="A47" s="3"/>
      <c r="B47" s="3"/>
      <c r="C47" s="5"/>
      <c r="D47" s="6"/>
      <c r="E47" s="6"/>
      <c r="F47" s="5"/>
      <c r="G47" s="5"/>
      <c r="H47" s="6"/>
      <c r="I47" s="4"/>
      <c r="J47" s="4"/>
      <c r="K47" s="5"/>
      <c r="L47" s="7"/>
      <c r="M47" s="7"/>
      <c r="N47" s="4"/>
      <c r="O47" s="4"/>
      <c r="P47" s="4"/>
      <c r="Q47" s="4"/>
      <c r="R47" s="8"/>
      <c r="S47" s="24"/>
      <c r="T47" s="4"/>
      <c r="U47" s="6"/>
      <c r="V47" s="6"/>
      <c r="W47" s="6"/>
      <c r="X47" s="6"/>
      <c r="Y47" s="6"/>
      <c r="Z47" s="4"/>
      <c r="AA47" s="6"/>
      <c r="AB47" s="9"/>
      <c r="AC47" s="9"/>
      <c r="AD47" s="9"/>
      <c r="AE47" s="9"/>
      <c r="AF47" s="9"/>
      <c r="AG47" s="9"/>
      <c r="AH47" s="10"/>
      <c r="AI47" s="4"/>
      <c r="AJ47" s="7"/>
      <c r="AK47" s="9"/>
      <c r="AL47" s="9"/>
      <c r="AM47" s="9"/>
      <c r="AN47" s="9"/>
      <c r="AO47" s="9"/>
      <c r="AP47" s="9"/>
      <c r="AQ47" s="9"/>
      <c r="AR47" s="4"/>
      <c r="AS47" s="21"/>
      <c r="AT47" s="6"/>
      <c r="AU47" s="5"/>
      <c r="AV47" s="23"/>
      <c r="AW47" s="5"/>
      <c r="AX47" s="6"/>
      <c r="AY47" s="5"/>
      <c r="AZ47" s="5"/>
      <c r="BA47" s="6"/>
      <c r="BB47" s="6"/>
      <c r="BC47" s="6"/>
      <c r="BD47" s="6"/>
      <c r="BE47" s="7"/>
      <c r="BF47" s="7"/>
      <c r="BG47" s="41"/>
      <c r="BH47" s="35"/>
      <c r="BI47" s="61"/>
    </row>
    <row r="48" spans="1:61" s="20" customFormat="1" ht="24.95" customHeight="1" x14ac:dyDescent="0.25">
      <c r="A48" s="12"/>
      <c r="B48" s="12"/>
      <c r="C48" s="14"/>
      <c r="D48" s="15"/>
      <c r="E48" s="15"/>
      <c r="F48" s="14"/>
      <c r="G48" s="14"/>
      <c r="H48" s="15"/>
      <c r="I48" s="13"/>
      <c r="J48" s="13"/>
      <c r="K48" s="14"/>
      <c r="L48" s="16"/>
      <c r="M48" s="16"/>
      <c r="N48" s="13"/>
      <c r="O48" s="13"/>
      <c r="P48" s="13"/>
      <c r="Q48" s="13"/>
      <c r="R48" s="17"/>
      <c r="S48" s="25"/>
      <c r="T48" s="13"/>
      <c r="U48" s="15"/>
      <c r="V48" s="15"/>
      <c r="W48" s="15"/>
      <c r="X48" s="15"/>
      <c r="Y48" s="15"/>
      <c r="Z48" s="13"/>
      <c r="AA48" s="15"/>
      <c r="AB48" s="18"/>
      <c r="AC48" s="18"/>
      <c r="AD48" s="18"/>
      <c r="AE48" s="18"/>
      <c r="AF48" s="18"/>
      <c r="AG48" s="18"/>
      <c r="AH48" s="19"/>
      <c r="AI48" s="13"/>
      <c r="AJ48" s="16"/>
      <c r="AK48" s="18"/>
      <c r="AL48" s="18"/>
      <c r="AM48" s="18"/>
      <c r="AN48" s="18"/>
      <c r="AO48" s="18"/>
      <c r="AP48" s="18"/>
      <c r="AQ48" s="18"/>
      <c r="AR48" s="13"/>
      <c r="AS48" s="22"/>
      <c r="AT48" s="15"/>
      <c r="AU48" s="14"/>
      <c r="AV48" s="26"/>
      <c r="AW48" s="14"/>
      <c r="AX48" s="15"/>
      <c r="AY48" s="14"/>
      <c r="AZ48" s="14"/>
      <c r="BA48" s="15"/>
      <c r="BB48" s="15"/>
      <c r="BC48" s="15"/>
      <c r="BD48" s="15"/>
      <c r="BE48" s="16"/>
      <c r="BF48" s="16"/>
      <c r="BG48" s="58"/>
      <c r="BH48" s="32"/>
      <c r="BI48" s="62"/>
    </row>
    <row r="49" spans="1:61" s="11" customFormat="1" ht="24.95" customHeight="1" x14ac:dyDescent="0.25">
      <c r="A49" s="3"/>
      <c r="B49" s="3"/>
      <c r="C49" s="5"/>
      <c r="D49" s="6"/>
      <c r="E49" s="6"/>
      <c r="F49" s="5"/>
      <c r="G49" s="5"/>
      <c r="H49" s="6"/>
      <c r="I49" s="4"/>
      <c r="J49" s="4"/>
      <c r="K49" s="5"/>
      <c r="L49" s="7"/>
      <c r="M49" s="7"/>
      <c r="N49" s="4"/>
      <c r="O49" s="4"/>
      <c r="P49" s="4"/>
      <c r="Q49" s="4"/>
      <c r="R49" s="8"/>
      <c r="S49" s="24"/>
      <c r="T49" s="4"/>
      <c r="U49" s="6"/>
      <c r="V49" s="6"/>
      <c r="W49" s="6"/>
      <c r="X49" s="6"/>
      <c r="Y49" s="6"/>
      <c r="Z49" s="4"/>
      <c r="AA49" s="6"/>
      <c r="AB49" s="9"/>
      <c r="AC49" s="9"/>
      <c r="AD49" s="9"/>
      <c r="AE49" s="9"/>
      <c r="AF49" s="9"/>
      <c r="AG49" s="9"/>
      <c r="AH49" s="10"/>
      <c r="AI49" s="4"/>
      <c r="AJ49" s="7"/>
      <c r="AK49" s="9"/>
      <c r="AL49" s="9"/>
      <c r="AM49" s="9"/>
      <c r="AN49" s="9"/>
      <c r="AO49" s="9"/>
      <c r="AP49" s="9"/>
      <c r="AQ49" s="9"/>
      <c r="AR49" s="4"/>
      <c r="AS49" s="21"/>
      <c r="AT49" s="6"/>
      <c r="AU49" s="5"/>
      <c r="AV49" s="23"/>
      <c r="AW49" s="5"/>
      <c r="AX49" s="6"/>
      <c r="AY49" s="5"/>
      <c r="AZ49" s="5"/>
      <c r="BA49" s="6"/>
      <c r="BB49" s="6"/>
      <c r="BC49" s="6"/>
      <c r="BD49" s="6"/>
      <c r="BE49" s="7"/>
      <c r="BF49" s="7"/>
      <c r="BG49" s="41"/>
      <c r="BH49" s="35"/>
      <c r="BI49" s="61"/>
    </row>
    <row r="50" spans="1:61" s="20" customFormat="1" ht="24.95" customHeight="1" x14ac:dyDescent="0.25">
      <c r="A50" s="12"/>
      <c r="B50" s="12"/>
      <c r="C50" s="14"/>
      <c r="D50" s="15"/>
      <c r="E50" s="15"/>
      <c r="F50" s="14"/>
      <c r="G50" s="14"/>
      <c r="H50" s="15"/>
      <c r="I50" s="13"/>
      <c r="J50" s="13"/>
      <c r="K50" s="14"/>
      <c r="L50" s="16"/>
      <c r="M50" s="16"/>
      <c r="N50" s="13"/>
      <c r="O50" s="13"/>
      <c r="P50" s="13"/>
      <c r="Q50" s="13"/>
      <c r="R50" s="17"/>
      <c r="S50" s="25"/>
      <c r="T50" s="13"/>
      <c r="U50" s="15"/>
      <c r="V50" s="15"/>
      <c r="W50" s="15"/>
      <c r="X50" s="15"/>
      <c r="Y50" s="15"/>
      <c r="Z50" s="13"/>
      <c r="AA50" s="15"/>
      <c r="AB50" s="18"/>
      <c r="AC50" s="18"/>
      <c r="AD50" s="18"/>
      <c r="AE50" s="18"/>
      <c r="AF50" s="18"/>
      <c r="AG50" s="18"/>
      <c r="AH50" s="19"/>
      <c r="AI50" s="13"/>
      <c r="AJ50" s="16"/>
      <c r="AK50" s="18"/>
      <c r="AL50" s="18"/>
      <c r="AM50" s="18"/>
      <c r="AN50" s="18"/>
      <c r="AO50" s="18"/>
      <c r="AP50" s="18"/>
      <c r="AQ50" s="18"/>
      <c r="AR50" s="13"/>
      <c r="AS50" s="22"/>
      <c r="AT50" s="15"/>
      <c r="AU50" s="14"/>
      <c r="AV50" s="26"/>
      <c r="AW50" s="14"/>
      <c r="AX50" s="15"/>
      <c r="AY50" s="14"/>
      <c r="AZ50" s="14"/>
      <c r="BA50" s="15"/>
      <c r="BB50" s="15"/>
      <c r="BC50" s="15"/>
      <c r="BD50" s="15"/>
      <c r="BE50" s="16"/>
      <c r="BF50" s="16"/>
      <c r="BG50" s="58"/>
      <c r="BH50" s="32"/>
      <c r="BI50" s="62"/>
    </row>
    <row r="51" spans="1:61" s="11" customFormat="1" ht="24.95" customHeight="1" x14ac:dyDescent="0.25">
      <c r="A51" s="3"/>
      <c r="B51" s="3"/>
      <c r="C51" s="5"/>
      <c r="D51" s="6"/>
      <c r="E51" s="6"/>
      <c r="F51" s="5"/>
      <c r="G51" s="5"/>
      <c r="H51" s="6"/>
      <c r="I51" s="4"/>
      <c r="J51" s="4"/>
      <c r="K51" s="5"/>
      <c r="L51" s="7"/>
      <c r="M51" s="7"/>
      <c r="N51" s="4"/>
      <c r="O51" s="4"/>
      <c r="P51" s="4"/>
      <c r="Q51" s="4"/>
      <c r="R51" s="8"/>
      <c r="S51" s="24"/>
      <c r="T51" s="4"/>
      <c r="U51" s="6"/>
      <c r="V51" s="6"/>
      <c r="W51" s="6"/>
      <c r="X51" s="6"/>
      <c r="Y51" s="6"/>
      <c r="Z51" s="4"/>
      <c r="AA51" s="6"/>
      <c r="AB51" s="9"/>
      <c r="AC51" s="9"/>
      <c r="AD51" s="9"/>
      <c r="AE51" s="9"/>
      <c r="AF51" s="9"/>
      <c r="AG51" s="9"/>
      <c r="AH51" s="10"/>
      <c r="AI51" s="4"/>
      <c r="AJ51" s="7"/>
      <c r="AK51" s="9"/>
      <c r="AL51" s="9"/>
      <c r="AM51" s="9"/>
      <c r="AN51" s="9"/>
      <c r="AO51" s="9"/>
      <c r="AP51" s="9"/>
      <c r="AQ51" s="9"/>
      <c r="AR51" s="4"/>
      <c r="AS51" s="21"/>
      <c r="AT51" s="6"/>
      <c r="AU51" s="5"/>
      <c r="AV51" s="23"/>
      <c r="AW51" s="5"/>
      <c r="AX51" s="6"/>
      <c r="AY51" s="5"/>
      <c r="AZ51" s="5"/>
      <c r="BA51" s="6"/>
      <c r="BB51" s="6"/>
      <c r="BC51" s="6"/>
      <c r="BD51" s="6"/>
      <c r="BE51" s="7"/>
      <c r="BF51" s="7"/>
      <c r="BG51" s="41"/>
      <c r="BH51" s="35"/>
      <c r="BI51" s="61"/>
    </row>
    <row r="52" spans="1:61" s="20" customFormat="1" ht="24.95" customHeight="1" x14ac:dyDescent="0.25">
      <c r="A52" s="12"/>
      <c r="B52" s="12"/>
      <c r="C52" s="14"/>
      <c r="D52" s="15"/>
      <c r="E52" s="15"/>
      <c r="F52" s="14"/>
      <c r="G52" s="14"/>
      <c r="H52" s="15"/>
      <c r="I52" s="13"/>
      <c r="J52" s="13"/>
      <c r="K52" s="14"/>
      <c r="L52" s="16"/>
      <c r="M52" s="16"/>
      <c r="N52" s="13"/>
      <c r="O52" s="13"/>
      <c r="P52" s="13"/>
      <c r="Q52" s="13"/>
      <c r="R52" s="17"/>
      <c r="S52" s="25"/>
      <c r="T52" s="13"/>
      <c r="U52" s="15"/>
      <c r="V52" s="15"/>
      <c r="W52" s="15"/>
      <c r="X52" s="15"/>
      <c r="Y52" s="15"/>
      <c r="Z52" s="13"/>
      <c r="AA52" s="15"/>
      <c r="AB52" s="18"/>
      <c r="AC52" s="18"/>
      <c r="AD52" s="18"/>
      <c r="AE52" s="18"/>
      <c r="AF52" s="18"/>
      <c r="AG52" s="18"/>
      <c r="AH52" s="19"/>
      <c r="AI52" s="13"/>
      <c r="AJ52" s="16"/>
      <c r="AK52" s="18"/>
      <c r="AL52" s="18"/>
      <c r="AM52" s="18"/>
      <c r="AN52" s="18"/>
      <c r="AO52" s="18"/>
      <c r="AP52" s="18"/>
      <c r="AQ52" s="18"/>
      <c r="AR52" s="13"/>
      <c r="AS52" s="22"/>
      <c r="AT52" s="15"/>
      <c r="AU52" s="14"/>
      <c r="AV52" s="26"/>
      <c r="AW52" s="14"/>
      <c r="AX52" s="15"/>
      <c r="AY52" s="14"/>
      <c r="AZ52" s="14"/>
      <c r="BA52" s="15"/>
      <c r="BB52" s="15"/>
      <c r="BC52" s="15"/>
      <c r="BD52" s="15"/>
      <c r="BE52" s="16"/>
      <c r="BF52" s="16"/>
      <c r="BG52" s="58"/>
      <c r="BH52" s="32"/>
      <c r="BI52" s="62"/>
    </row>
    <row r="53" spans="1:61" s="11" customFormat="1" ht="24.95" customHeight="1" x14ac:dyDescent="0.25">
      <c r="A53" s="3"/>
      <c r="B53" s="3"/>
      <c r="C53" s="5"/>
      <c r="D53" s="6"/>
      <c r="E53" s="6"/>
      <c r="F53" s="5"/>
      <c r="G53" s="5"/>
      <c r="H53" s="6"/>
      <c r="I53" s="4"/>
      <c r="J53" s="4"/>
      <c r="K53" s="5"/>
      <c r="L53" s="7"/>
      <c r="M53" s="7"/>
      <c r="N53" s="4"/>
      <c r="O53" s="4"/>
      <c r="P53" s="4"/>
      <c r="Q53" s="4"/>
      <c r="R53" s="8"/>
      <c r="S53" s="24"/>
      <c r="T53" s="4"/>
      <c r="U53" s="6"/>
      <c r="V53" s="6"/>
      <c r="W53" s="6"/>
      <c r="X53" s="6"/>
      <c r="Y53" s="6"/>
      <c r="Z53" s="4"/>
      <c r="AA53" s="6"/>
      <c r="AB53" s="9"/>
      <c r="AC53" s="9"/>
      <c r="AD53" s="9"/>
      <c r="AE53" s="9"/>
      <c r="AF53" s="9"/>
      <c r="AG53" s="9"/>
      <c r="AH53" s="10"/>
      <c r="AI53" s="4"/>
      <c r="AJ53" s="7"/>
      <c r="AK53" s="9"/>
      <c r="AL53" s="9"/>
      <c r="AM53" s="9"/>
      <c r="AN53" s="9"/>
      <c r="AO53" s="9"/>
      <c r="AP53" s="9"/>
      <c r="AQ53" s="9"/>
      <c r="AR53" s="4"/>
      <c r="AS53" s="21"/>
      <c r="AT53" s="6"/>
      <c r="AU53" s="5"/>
      <c r="AV53" s="23"/>
      <c r="AW53" s="5"/>
      <c r="AX53" s="6"/>
      <c r="AY53" s="5"/>
      <c r="AZ53" s="5"/>
      <c r="BA53" s="6"/>
      <c r="BB53" s="6"/>
      <c r="BC53" s="6"/>
      <c r="BD53" s="6"/>
      <c r="BE53" s="7"/>
      <c r="BF53" s="7"/>
      <c r="BG53" s="41"/>
      <c r="BH53" s="35"/>
      <c r="BI53" s="61"/>
    </row>
    <row r="54" spans="1:61" s="20" customFormat="1" ht="24.95" customHeight="1" x14ac:dyDescent="0.25">
      <c r="A54" s="12"/>
      <c r="B54" s="12"/>
      <c r="C54" s="14"/>
      <c r="D54" s="15"/>
      <c r="E54" s="15"/>
      <c r="F54" s="14"/>
      <c r="G54" s="14"/>
      <c r="H54" s="15"/>
      <c r="I54" s="13"/>
      <c r="J54" s="13"/>
      <c r="K54" s="14"/>
      <c r="L54" s="16"/>
      <c r="M54" s="16"/>
      <c r="N54" s="13"/>
      <c r="O54" s="13"/>
      <c r="P54" s="13"/>
      <c r="Q54" s="13"/>
      <c r="R54" s="17"/>
      <c r="S54" s="25"/>
      <c r="T54" s="13"/>
      <c r="U54" s="15"/>
      <c r="V54" s="15"/>
      <c r="W54" s="15"/>
      <c r="X54" s="15"/>
      <c r="Y54" s="15"/>
      <c r="Z54" s="13"/>
      <c r="AA54" s="15"/>
      <c r="AB54" s="18"/>
      <c r="AC54" s="18"/>
      <c r="AD54" s="18"/>
      <c r="AE54" s="18"/>
      <c r="AF54" s="18"/>
      <c r="AG54" s="18"/>
      <c r="AH54" s="19"/>
      <c r="AI54" s="13"/>
      <c r="AJ54" s="16"/>
      <c r="AK54" s="18"/>
      <c r="AL54" s="18"/>
      <c r="AM54" s="18"/>
      <c r="AN54" s="18"/>
      <c r="AO54" s="18"/>
      <c r="AP54" s="18"/>
      <c r="AQ54" s="18"/>
      <c r="AR54" s="13"/>
      <c r="AS54" s="22"/>
      <c r="AT54" s="15"/>
      <c r="AU54" s="14"/>
      <c r="AV54" s="26"/>
      <c r="AW54" s="14"/>
      <c r="AX54" s="15"/>
      <c r="AY54" s="14"/>
      <c r="AZ54" s="14"/>
      <c r="BA54" s="15"/>
      <c r="BB54" s="15"/>
      <c r="BC54" s="15"/>
      <c r="BD54" s="15"/>
      <c r="BE54" s="16"/>
      <c r="BF54" s="16"/>
      <c r="BG54" s="58"/>
      <c r="BH54" s="32"/>
      <c r="BI54" s="62"/>
    </row>
    <row r="55" spans="1:61" s="11" customFormat="1" ht="24.95" customHeight="1" x14ac:dyDescent="0.25">
      <c r="A55" s="3"/>
      <c r="B55" s="3"/>
      <c r="C55" s="5"/>
      <c r="D55" s="6"/>
      <c r="E55" s="6"/>
      <c r="F55" s="5"/>
      <c r="G55" s="5"/>
      <c r="H55" s="6"/>
      <c r="I55" s="4"/>
      <c r="J55" s="4"/>
      <c r="K55" s="5"/>
      <c r="L55" s="7"/>
      <c r="M55" s="7"/>
      <c r="N55" s="4"/>
      <c r="O55" s="4"/>
      <c r="P55" s="4"/>
      <c r="Q55" s="4"/>
      <c r="R55" s="8"/>
      <c r="S55" s="24"/>
      <c r="T55" s="4"/>
      <c r="U55" s="6"/>
      <c r="V55" s="6"/>
      <c r="W55" s="6"/>
      <c r="X55" s="6"/>
      <c r="Y55" s="6"/>
      <c r="Z55" s="4"/>
      <c r="AA55" s="6"/>
      <c r="AB55" s="9"/>
      <c r="AC55" s="9"/>
      <c r="AD55" s="9"/>
      <c r="AE55" s="9"/>
      <c r="AF55" s="9"/>
      <c r="AG55" s="9"/>
      <c r="AH55" s="10"/>
      <c r="AI55" s="4"/>
      <c r="AJ55" s="7"/>
      <c r="AK55" s="9"/>
      <c r="AL55" s="9"/>
      <c r="AM55" s="9"/>
      <c r="AN55" s="9"/>
      <c r="AO55" s="9"/>
      <c r="AP55" s="9"/>
      <c r="AQ55" s="9"/>
      <c r="AR55" s="4"/>
      <c r="AS55" s="21"/>
      <c r="AT55" s="6"/>
      <c r="AU55" s="5"/>
      <c r="AV55" s="23"/>
      <c r="AW55" s="5"/>
      <c r="AX55" s="6"/>
      <c r="AY55" s="5"/>
      <c r="AZ55" s="5"/>
      <c r="BA55" s="6"/>
      <c r="BB55" s="6"/>
      <c r="BC55" s="6"/>
      <c r="BD55" s="6"/>
      <c r="BE55" s="7"/>
      <c r="BF55" s="7"/>
      <c r="BG55" s="41"/>
      <c r="BH55" s="35"/>
      <c r="BI55" s="61"/>
    </row>
    <row r="56" spans="1:61" s="20" customFormat="1" ht="24.95" customHeight="1" x14ac:dyDescent="0.25">
      <c r="A56" s="12"/>
      <c r="B56" s="12"/>
      <c r="C56" s="14"/>
      <c r="D56" s="15"/>
      <c r="E56" s="15"/>
      <c r="F56" s="14"/>
      <c r="G56" s="14"/>
      <c r="H56" s="15"/>
      <c r="I56" s="13"/>
      <c r="J56" s="13"/>
      <c r="K56" s="14"/>
      <c r="L56" s="16"/>
      <c r="M56" s="16"/>
      <c r="N56" s="13"/>
      <c r="O56" s="13"/>
      <c r="P56" s="13"/>
      <c r="Q56" s="13"/>
      <c r="R56" s="17"/>
      <c r="S56" s="25"/>
      <c r="T56" s="13"/>
      <c r="U56" s="15"/>
      <c r="V56" s="15"/>
      <c r="W56" s="15"/>
      <c r="X56" s="15"/>
      <c r="Y56" s="15"/>
      <c r="Z56" s="13"/>
      <c r="AA56" s="15"/>
      <c r="AB56" s="18"/>
      <c r="AC56" s="18"/>
      <c r="AD56" s="18"/>
      <c r="AE56" s="18"/>
      <c r="AF56" s="18"/>
      <c r="AG56" s="18"/>
      <c r="AH56" s="19"/>
      <c r="AI56" s="13"/>
      <c r="AJ56" s="16"/>
      <c r="AK56" s="18"/>
      <c r="AL56" s="18"/>
      <c r="AM56" s="18"/>
      <c r="AN56" s="18"/>
      <c r="AO56" s="18"/>
      <c r="AP56" s="18"/>
      <c r="AQ56" s="18"/>
      <c r="AR56" s="13"/>
      <c r="AS56" s="22"/>
      <c r="AT56" s="15"/>
      <c r="AU56" s="14"/>
      <c r="AV56" s="26"/>
      <c r="AW56" s="14"/>
      <c r="AX56" s="15"/>
      <c r="AY56" s="14"/>
      <c r="AZ56" s="14"/>
      <c r="BA56" s="15"/>
      <c r="BB56" s="15"/>
      <c r="BC56" s="15"/>
      <c r="BD56" s="15"/>
      <c r="BE56" s="16"/>
      <c r="BF56" s="16"/>
      <c r="BG56" s="58"/>
      <c r="BH56" s="32"/>
      <c r="BI56" s="62"/>
    </row>
  </sheetData>
  <autoFilter ref="A1:BH56" xr:uid="{B8D6C68B-6359-49E6-B5DE-5C305482F1F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Controle WR Solare</vt:lpstr>
      <vt:lpstr>'Controle WR Solare'!_Hlk186207914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 Arts</dc:creator>
  <cp:lastModifiedBy>Term-02</cp:lastModifiedBy>
  <dcterms:created xsi:type="dcterms:W3CDTF">2022-04-30T17:57:59Z</dcterms:created>
  <dcterms:modified xsi:type="dcterms:W3CDTF">2026-08-22T14:12:46Z</dcterms:modified>
</cp:coreProperties>
</file>