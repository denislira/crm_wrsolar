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SRVLINK\wr_solare\Gestão\Custos e Despesas\"/>
    </mc:Choice>
  </mc:AlternateContent>
  <xr:revisionPtr revIDLastSave="0" documentId="13_ncr:1_{914FCD99-5C09-486A-9365-DC3E1BFFC5DA}" xr6:coauthVersionLast="47" xr6:coauthVersionMax="47" xr10:uidLastSave="{00000000-0000-0000-0000-000000000000}"/>
  <bookViews>
    <workbookView xWindow="-120" yWindow="-120" windowWidth="29040" windowHeight="15720" tabRatio="753" activeTab="9" xr2:uid="{1D42781F-3523-468F-96BE-79EF90D86739}"/>
  </bookViews>
  <sheets>
    <sheet name="Custos - Despesas" sheetId="1" r:id="rId1"/>
    <sheet name="Rateios" sheetId="9" r:id="rId2"/>
    <sheet name="Despesas Diversas" sheetId="3" r:id="rId3"/>
    <sheet name="Recebimentos" sheetId="2" r:id="rId4"/>
    <sheet name="Kits" sheetId="4" r:id="rId5"/>
    <sheet name="Boletos Recebidos" sheetId="5" r:id="rId6"/>
    <sheet name="Notas Fiscais - Saida" sheetId="6" r:id="rId7"/>
    <sheet name="Notas Fiscais - Direta" sheetId="8" r:id="rId8"/>
    <sheet name="Notas Fiscais - Entrada" sheetId="10" r:id="rId9"/>
    <sheet name="RESUMO" sheetId="11" r:id="rId10"/>
  </sheets>
  <definedNames>
    <definedName name="_xlnm._FilterDatabase" localSheetId="5" hidden="1">'Boletos Recebidos'!$A$1:$D$63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47" i="1" l="1"/>
  <c r="C81" i="2"/>
  <c r="C9" i="6"/>
  <c r="C6" i="11"/>
  <c r="C77" i="5"/>
  <c r="C16" i="9" l="1"/>
  <c r="D1" i="11" l="1"/>
  <c r="C25" i="4" l="1"/>
  <c r="D5" i="11" s="1"/>
  <c r="D2" i="11"/>
  <c r="C20" i="3"/>
  <c r="D3" i="11" s="1"/>
  <c r="C4" i="11"/>
  <c r="C7" i="11" l="1"/>
  <c r="D7" i="11"/>
  <c r="F7" i="11" l="1"/>
</calcChain>
</file>

<file path=xl/sharedStrings.xml><?xml version="1.0" encoding="utf-8"?>
<sst xmlns="http://schemas.openxmlformats.org/spreadsheetml/2006/main" count="45" uniqueCount="37">
  <si>
    <t>Data</t>
  </si>
  <si>
    <t>Descrição</t>
  </si>
  <si>
    <t>Valor</t>
  </si>
  <si>
    <t>Responsável</t>
  </si>
  <si>
    <t>TOTAL</t>
  </si>
  <si>
    <t>Rateios</t>
  </si>
  <si>
    <t>Custos - Despesas</t>
  </si>
  <si>
    <t>Despesas Diversas</t>
  </si>
  <si>
    <t>Kits</t>
  </si>
  <si>
    <t>Boletos Recebidos</t>
  </si>
  <si>
    <t>Recebimentos</t>
  </si>
  <si>
    <t>SALDO</t>
  </si>
  <si>
    <t>OBS.: AO ORGANIZAR TIRAR O FILTRO</t>
  </si>
  <si>
    <t>WR SOLARE</t>
  </si>
  <si>
    <t>faça uma tabela para excel - separando na primeira coluna a data, na segunda coluna a descrição completa e na terceira coluna apenas o último valor de cada descrição</t>
  </si>
  <si>
    <t>repetir o mesmo processo anterior</t>
  </si>
  <si>
    <t>O código faz o mapeamento exato dos dados das imagens, aplica a expressão regular para extrair a data, isola o nome correto após o sinal de hífen posterior à data e aplica a formatação visual profissional (linhas alternadas em azul/cinza e fórmula de soma automática).</t>
  </si>
  <si>
    <r>
      <t xml:space="preserve">"Organiza esses dados em uma tabela para mim. Deixa a </t>
    </r>
    <r>
      <rPr>
        <b/>
        <sz val="11"/>
        <color theme="1"/>
        <rFont val="Calibri"/>
        <family val="2"/>
        <scheme val="minor"/>
      </rPr>
      <t>Data</t>
    </r>
    <r>
      <rPr>
        <sz val="11"/>
        <color theme="1"/>
        <rFont val="Calibri"/>
        <family val="2"/>
        <scheme val="minor"/>
      </rPr>
      <t xml:space="preserve"> na primeira coluna, a </t>
    </r>
    <r>
      <rPr>
        <b/>
        <sz val="11"/>
        <color theme="1"/>
        <rFont val="Calibri"/>
        <family val="2"/>
        <scheme val="minor"/>
      </rPr>
      <t>Descrição Completa</t>
    </r>
    <r>
      <rPr>
        <sz val="11"/>
        <color theme="1"/>
        <rFont val="Calibri"/>
        <family val="2"/>
        <scheme val="minor"/>
      </rPr>
      <t xml:space="preserve"> na segunda, o </t>
    </r>
    <r>
      <rPr>
        <b/>
        <sz val="11"/>
        <color theme="1"/>
        <rFont val="Calibri"/>
        <family val="2"/>
        <scheme val="minor"/>
      </rPr>
      <t>Valor</t>
    </r>
    <r>
      <rPr>
        <sz val="11"/>
        <color theme="1"/>
        <rFont val="Calibri"/>
        <family val="2"/>
        <scheme val="minor"/>
      </rPr>
      <t xml:space="preserve"> na terceira e quem é o </t>
    </r>
    <r>
      <rPr>
        <b/>
        <sz val="11"/>
        <color theme="1"/>
        <rFont val="Calibri"/>
        <family val="2"/>
        <scheme val="minor"/>
      </rPr>
      <t>Responsável</t>
    </r>
    <r>
      <rPr>
        <sz val="11"/>
        <color theme="1"/>
        <rFont val="Calibri"/>
        <family val="2"/>
        <scheme val="minor"/>
      </rPr>
      <t xml:space="preserve"> na quarta. Ah, e bota aquela formatação padrão com linhas alternadas em azul e cinza e deixa o total somando automático no final."</t>
    </r>
  </si>
  <si>
    <t>Sua tabela para Excel foi criada com sucesso, organizando os dados conforme solicitado: a data na primeira coluna (convertida para o formato dd/mm/aaaa), a descrição completa na segunda e o valor numérico na terceira.</t>
  </si>
  <si>
    <t>Água mineral 11,00 - 01-07-2026</t>
  </si>
  <si>
    <t>Luís - Despesas Diversas 3.000,00 - 01-07-2026</t>
  </si>
  <si>
    <t>Kit - Anderson Costa 7.296,02 - 01-07-2026</t>
  </si>
  <si>
    <t>NFs 220 - Photonex 1.450,00 - 01-07-2026</t>
  </si>
  <si>
    <t>IPVA 4 - Compass 2018 - Wilson - Rateio 513,44 - 06-07-2026</t>
  </si>
  <si>
    <r>
      <t xml:space="preserve">Boleto recebido - OLIMPIO FERNANDO DOS SANTOS COSTA - </t>
    </r>
    <r>
      <rPr>
        <b/>
        <sz val="11"/>
        <color rgb="FFFF0000"/>
        <rFont val="Calibri"/>
        <family val="2"/>
        <scheme val="minor"/>
      </rPr>
      <t>JUNHO</t>
    </r>
    <r>
      <rPr>
        <b/>
        <sz val="11"/>
        <color theme="1"/>
        <rFont val="Calibri"/>
        <family val="2"/>
        <scheme val="minor"/>
      </rPr>
      <t xml:space="preserve"> 1.547,00 + 40,22 = 1.587,22 - 01-07-2026 - RODRIGO</t>
    </r>
  </si>
  <si>
    <r>
      <t xml:space="preserve">Boleto recebido - ERICK FERREIRA DOS SANTOS - </t>
    </r>
    <r>
      <rPr>
        <b/>
        <sz val="11"/>
        <color rgb="FFFF0000"/>
        <rFont val="Calibri"/>
        <family val="2"/>
        <scheme val="minor"/>
      </rPr>
      <t>JUNHO</t>
    </r>
    <r>
      <rPr>
        <b/>
        <sz val="11"/>
        <color theme="1"/>
        <rFont val="Calibri"/>
        <family val="2"/>
        <scheme val="minor"/>
      </rPr>
      <t xml:space="preserve"> 580,00 + 13,34 = 593,34 - 01-07-2026 - WR SOLARE</t>
    </r>
  </si>
  <si>
    <t>Boleto recebido - JOSE GERALDO DA SILVA 496,12 - 03-07-2026 - RAFAEL</t>
  </si>
  <si>
    <t>RODRIGO</t>
  </si>
  <si>
    <t>RAFAEL</t>
  </si>
  <si>
    <t>agora faça um comparativo com o print anterior, se todos os dados e valores estão exatamente iguais</t>
  </si>
  <si>
    <t>Faça uma tabela para excel, no qual a primeira coluna isola a Data, a segunda traz a Descrição Completa e a terceira extrai apenas o Último Valor monetário que antecede a data. Faça também um comparativo com o print enviado, se todos os dados e valores estão exatamente iguais</t>
  </si>
  <si>
    <t>Boleto recebido - JOSETE FERREIRA DA SILVA 349,90 - 27-07-2026 - WILSON</t>
  </si>
  <si>
    <t>WILSON</t>
  </si>
  <si>
    <t>Extrair as linhas da coluna A (quem pagara o boleto) e divida em arquivos distintos em TXT para download individuais, salve respectivamente o nome do arquivo igual a descrição de cada um e baixar todo os arquivos compactados .RAR. Faça também um comparativo, se todos os dados e valores estão exatamente iguais</t>
  </si>
  <si>
    <t>Os arquivos TXT individuais foram extraídos da Coluna A, nomeados com a descrição exata de cada linha e compactados em um arquivo único para download.</t>
  </si>
  <si>
    <t>Prompt de Solicitação: "Reorganize a planilha de boletos criando uma tabela com quatro colunas: Data (na 1ª coluna, centralizada), Descrição Completa (na 2ª coluna, alinhada à esquerda), Valor (na 3ª coluna, formatado em moeda R$ e alinhado à direita) e Responsável (na 4ª coluna, centralizado, extraído do final da descrição).
Aplique a formatação visual com cabeçalho em azul escuro e texto em branco, e alterne as linhas de dados entre azul claro e cinza claro. Inclua uma linha de Total ao final somando automaticamente a coluna de valores com borda dupla inferior.
Importante: Dentro do texto da célula da Descrição Completa, destaque em vermelho e negrito apenas a palavra do mês de referência (ex: JULHO) e os valores referentes aos juros (ex: 47,85 e 49,08), mantendo todo o restante do texto da descrição na cor preta normal. Ao final, gere o arquivo em formato Excel (.xlsx) para download."</t>
  </si>
  <si>
    <t>Recebimento - Josefa Maria - Lan 1.039,58 - 21-07-2026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</si>
</sst>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8">
    <xf numFmtId="0" fontId="0" fillId="0" borderId="0" xfId="0"/>
    <xf numFmtId="14" fontId="0" fillId="2" borderId="0" xfId="0" applyNumberFormat="1" applyFill="1"/>
    <xf numFmtId="0" fontId="0" fillId="2" borderId="0" xfId="0" applyFill="1"/>
    <xf numFmtId="44" fontId="0" fillId="2" borderId="0" xfId="1" applyFont="1" applyFill="1"/>
    <xf numFmtId="0" fontId="3" fillId="2" borderId="0" xfId="0" applyFont="1" applyFill="1"/>
    <xf numFmtId="44" fontId="3" fillId="2" borderId="0" xfId="1" applyFont="1" applyFill="1"/>
    <xf numFmtId="14" fontId="3" fillId="2" borderId="0" xfId="1" applyNumberFormat="1" applyFont="1" applyFill="1"/>
    <xf numFmtId="44" fontId="3" fillId="2" borderId="0" xfId="1" applyNumberFormat="1" applyFont="1" applyFill="1"/>
    <xf numFmtId="14" fontId="3" fillId="2" borderId="0" xfId="0" applyNumberFormat="1" applyFont="1" applyFill="1"/>
    <xf numFmtId="44" fontId="0" fillId="2" borderId="0" xfId="0" applyNumberFormat="1" applyFill="1"/>
    <xf numFmtId="0" fontId="2" fillId="2" borderId="0" xfId="0" applyFont="1" applyFill="1"/>
    <xf numFmtId="44" fontId="0" fillId="2" borderId="0" xfId="1" applyFont="1" applyFill="1" applyAlignment="1">
      <alignment horizontal="center"/>
    </xf>
    <xf numFmtId="44" fontId="3" fillId="2" borderId="0" xfId="1" applyFont="1" applyFill="1" applyBorder="1"/>
    <xf numFmtId="0" fontId="5" fillId="2" borderId="0" xfId="0" applyFont="1" applyFill="1"/>
    <xf numFmtId="44" fontId="5" fillId="2" borderId="0" xfId="1" applyFont="1" applyFill="1"/>
    <xf numFmtId="0" fontId="4" fillId="2" borderId="0" xfId="0" applyFont="1" applyFill="1"/>
    <xf numFmtId="44" fontId="4" fillId="2" borderId="0" xfId="1" applyFont="1" applyFill="1"/>
    <xf numFmtId="14" fontId="5" fillId="2" borderId="0" xfId="0" applyNumberFormat="1" applyFont="1" applyFill="1"/>
    <xf numFmtId="164" fontId="2" fillId="2" borderId="0" xfId="0" applyNumberFormat="1" applyFont="1" applyFill="1"/>
    <xf numFmtId="14" fontId="2" fillId="2" borderId="0" xfId="0" applyNumberFormat="1" applyFont="1" applyFill="1"/>
    <xf numFmtId="164" fontId="0" fillId="2" borderId="0" xfId="0" applyNumberFormat="1" applyFill="1"/>
    <xf numFmtId="0" fontId="4" fillId="0" borderId="0" xfId="0" applyFont="1"/>
    <xf numFmtId="44" fontId="4" fillId="3" borderId="0" xfId="1" applyFont="1" applyFill="1"/>
    <xf numFmtId="14" fontId="4" fillId="3" borderId="0" xfId="0" applyNumberFormat="1" applyFont="1" applyFill="1"/>
    <xf numFmtId="0" fontId="0" fillId="4" borderId="0" xfId="0" applyFill="1"/>
    <xf numFmtId="14" fontId="3" fillId="2" borderId="0" xfId="1" applyNumberFormat="1" applyFont="1" applyFill="1" applyBorder="1"/>
    <xf numFmtId="0" fontId="3" fillId="2" borderId="0" xfId="0" applyFont="1" applyFill="1" applyBorder="1"/>
    <xf numFmtId="44" fontId="0" fillId="2" borderId="0" xfId="1" applyFont="1" applyFill="1" applyBorder="1"/>
    <xf numFmtId="14" fontId="0" fillId="2" borderId="0" xfId="0" applyNumberFormat="1" applyFill="1" applyBorder="1"/>
    <xf numFmtId="0" fontId="0" fillId="2" borderId="0" xfId="0" applyFill="1" applyBorder="1"/>
    <xf numFmtId="14" fontId="3" fillId="2" borderId="0" xfId="0" applyNumberFormat="1" applyFont="1" applyFill="1" applyBorder="1"/>
    <xf numFmtId="44" fontId="4" fillId="0" borderId="0" xfId="1" applyFont="1"/>
    <xf numFmtId="0" fontId="4" fillId="2" borderId="0" xfId="0" applyFont="1" applyFill="1" applyAlignment="1"/>
    <xf numFmtId="0" fontId="7" fillId="3" borderId="0" xfId="0" applyFont="1" applyFill="1"/>
    <xf numFmtId="44" fontId="7" fillId="3" borderId="0" xfId="1" applyFont="1" applyFill="1"/>
    <xf numFmtId="0" fontId="5" fillId="3" borderId="0" xfId="0" applyFont="1" applyFill="1"/>
    <xf numFmtId="0" fontId="4" fillId="3" borderId="0" xfId="0" applyFont="1" applyFill="1"/>
    <xf numFmtId="14" fontId="4" fillId="3" borderId="0" xfId="0" applyNumberFormat="1" applyFont="1" applyFill="1" applyAlignment="1">
      <alignment horizontal="right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65D7F-A284-4C5D-A30C-5B6D745A23CB}">
  <dimension ref="A1:F147"/>
  <sheetViews>
    <sheetView topLeftCell="A82" zoomScale="160" zoomScaleNormal="160" workbookViewId="0">
      <selection activeCell="B93" sqref="B93"/>
    </sheetView>
  </sheetViews>
  <sheetFormatPr defaultRowHeight="15" x14ac:dyDescent="0.25"/>
  <cols>
    <col min="1" max="1" width="14" style="7" bestFit="1" customWidth="1"/>
    <col min="2" max="2" width="66.28515625" style="4" customWidth="1"/>
    <col min="3" max="3" width="14.42578125" style="5" bestFit="1" customWidth="1"/>
    <col min="4" max="16384" width="9.140625" style="2"/>
  </cols>
  <sheetData>
    <row r="1" spans="1:6" x14ac:dyDescent="0.25">
      <c r="A1" s="1">
        <v>46204</v>
      </c>
      <c r="B1" s="4" t="s">
        <v>19</v>
      </c>
      <c r="C1" s="3">
        <v>11</v>
      </c>
      <c r="F1" s="2" t="s">
        <v>14</v>
      </c>
    </row>
    <row r="2" spans="1:6" x14ac:dyDescent="0.25">
      <c r="A2" s="1"/>
      <c r="F2" s="24" t="s">
        <v>30</v>
      </c>
    </row>
    <row r="3" spans="1:6" x14ac:dyDescent="0.25">
      <c r="A3" s="1"/>
      <c r="B3" s="2"/>
      <c r="C3" s="3"/>
      <c r="F3" s="2" t="s">
        <v>15</v>
      </c>
    </row>
    <row r="4" spans="1:6" x14ac:dyDescent="0.25">
      <c r="A4" s="1"/>
    </row>
    <row r="5" spans="1:6" x14ac:dyDescent="0.25">
      <c r="A5" s="1"/>
      <c r="C5" s="3"/>
      <c r="F5" s="2" t="s">
        <v>18</v>
      </c>
    </row>
    <row r="6" spans="1:6" x14ac:dyDescent="0.25">
      <c r="A6" s="1"/>
      <c r="B6" s="2"/>
      <c r="C6" s="3"/>
    </row>
    <row r="7" spans="1:6" x14ac:dyDescent="0.25">
      <c r="A7" s="1"/>
      <c r="B7" s="2"/>
      <c r="C7" s="3"/>
      <c r="F7" s="2" t="s">
        <v>29</v>
      </c>
    </row>
    <row r="8" spans="1:6" x14ac:dyDescent="0.25">
      <c r="A8" s="1"/>
      <c r="B8" s="2"/>
      <c r="C8" s="3"/>
    </row>
    <row r="9" spans="1:6" x14ac:dyDescent="0.25">
      <c r="A9" s="1"/>
      <c r="B9" s="2"/>
      <c r="C9" s="3"/>
    </row>
    <row r="10" spans="1:6" x14ac:dyDescent="0.25">
      <c r="A10" s="1"/>
      <c r="B10" s="2"/>
      <c r="C10" s="3"/>
    </row>
    <row r="11" spans="1:6" x14ac:dyDescent="0.25">
      <c r="A11" s="1"/>
      <c r="B11" s="2"/>
      <c r="C11" s="3"/>
    </row>
    <row r="12" spans="1:6" x14ac:dyDescent="0.25">
      <c r="A12" s="1"/>
    </row>
    <row r="13" spans="1:6" x14ac:dyDescent="0.25">
      <c r="A13" s="1"/>
      <c r="B13" s="2"/>
      <c r="C13" s="3"/>
    </row>
    <row r="14" spans="1:6" x14ac:dyDescent="0.25">
      <c r="A14" s="1"/>
      <c r="B14" s="2"/>
      <c r="C14" s="3"/>
    </row>
    <row r="15" spans="1:6" x14ac:dyDescent="0.25">
      <c r="A15" s="6"/>
    </row>
    <row r="16" spans="1:6" x14ac:dyDescent="0.25">
      <c r="A16" s="1"/>
    </row>
    <row r="17" spans="1:3" x14ac:dyDescent="0.25">
      <c r="A17" s="1"/>
    </row>
    <row r="18" spans="1:3" x14ac:dyDescent="0.25">
      <c r="A18" s="6"/>
      <c r="B18" s="2"/>
      <c r="C18" s="3"/>
    </row>
    <row r="19" spans="1:3" x14ac:dyDescent="0.25">
      <c r="A19" s="1"/>
      <c r="B19" s="2"/>
      <c r="C19" s="3"/>
    </row>
    <row r="20" spans="1:3" x14ac:dyDescent="0.25">
      <c r="A20" s="1"/>
    </row>
    <row r="21" spans="1:3" x14ac:dyDescent="0.25">
      <c r="A21" s="1"/>
    </row>
    <row r="22" spans="1:3" x14ac:dyDescent="0.25">
      <c r="A22" s="1"/>
      <c r="B22" s="2"/>
      <c r="C22" s="3"/>
    </row>
    <row r="23" spans="1:3" x14ac:dyDescent="0.25">
      <c r="A23" s="1"/>
      <c r="B23" s="2"/>
      <c r="C23" s="3"/>
    </row>
    <row r="24" spans="1:3" x14ac:dyDescent="0.25">
      <c r="A24" s="1"/>
      <c r="B24" s="2"/>
      <c r="C24" s="3"/>
    </row>
    <row r="25" spans="1:3" x14ac:dyDescent="0.25">
      <c r="A25" s="1"/>
      <c r="B25" s="2"/>
      <c r="C25" s="3"/>
    </row>
    <row r="26" spans="1:3" x14ac:dyDescent="0.25">
      <c r="A26" s="1"/>
      <c r="C26" s="3"/>
    </row>
    <row r="27" spans="1:3" x14ac:dyDescent="0.25">
      <c r="A27" s="1"/>
      <c r="B27" s="2"/>
      <c r="C27" s="3"/>
    </row>
    <row r="28" spans="1:3" x14ac:dyDescent="0.25">
      <c r="A28" s="1"/>
      <c r="B28" s="2"/>
      <c r="C28" s="3"/>
    </row>
    <row r="29" spans="1:3" x14ac:dyDescent="0.25">
      <c r="A29" s="1"/>
      <c r="B29" s="2"/>
      <c r="C29" s="3"/>
    </row>
    <row r="30" spans="1:3" x14ac:dyDescent="0.25">
      <c r="A30" s="1"/>
      <c r="B30" s="2"/>
      <c r="C30" s="3"/>
    </row>
    <row r="31" spans="1:3" x14ac:dyDescent="0.25">
      <c r="A31" s="6"/>
    </row>
    <row r="32" spans="1:3" x14ac:dyDescent="0.25">
      <c r="A32" s="6"/>
      <c r="B32" s="2"/>
      <c r="C32" s="3"/>
    </row>
    <row r="33" spans="1:3" x14ac:dyDescent="0.25">
      <c r="A33" s="6"/>
    </row>
    <row r="34" spans="1:3" x14ac:dyDescent="0.25">
      <c r="A34" s="1"/>
    </row>
    <row r="35" spans="1:3" x14ac:dyDescent="0.25">
      <c r="A35" s="1"/>
    </row>
    <row r="36" spans="1:3" x14ac:dyDescent="0.25">
      <c r="A36" s="1"/>
      <c r="B36" s="2"/>
      <c r="C36" s="3"/>
    </row>
    <row r="37" spans="1:3" x14ac:dyDescent="0.25">
      <c r="A37" s="1"/>
    </row>
    <row r="38" spans="1:3" x14ac:dyDescent="0.25">
      <c r="A38" s="1"/>
      <c r="B38" s="2"/>
      <c r="C38" s="3"/>
    </row>
    <row r="39" spans="1:3" x14ac:dyDescent="0.25">
      <c r="A39" s="1"/>
      <c r="C39" s="3"/>
    </row>
    <row r="40" spans="1:3" x14ac:dyDescent="0.25">
      <c r="A40" s="6"/>
    </row>
    <row r="41" spans="1:3" x14ac:dyDescent="0.25">
      <c r="A41" s="6"/>
      <c r="B41" s="2"/>
      <c r="C41" s="3"/>
    </row>
    <row r="42" spans="1:3" x14ac:dyDescent="0.25">
      <c r="A42" s="6"/>
      <c r="C42" s="3"/>
    </row>
    <row r="43" spans="1:3" x14ac:dyDescent="0.25">
      <c r="A43" s="1"/>
      <c r="B43" s="2"/>
      <c r="C43" s="3"/>
    </row>
    <row r="44" spans="1:3" x14ac:dyDescent="0.25">
      <c r="A44" s="1"/>
      <c r="C44" s="3"/>
    </row>
    <row r="45" spans="1:3" x14ac:dyDescent="0.25">
      <c r="A45" s="6"/>
    </row>
    <row r="46" spans="1:3" x14ac:dyDescent="0.25">
      <c r="A46" s="6"/>
    </row>
    <row r="47" spans="1:3" x14ac:dyDescent="0.25">
      <c r="A47" s="6"/>
      <c r="C47" s="3"/>
    </row>
    <row r="48" spans="1:3" x14ac:dyDescent="0.25">
      <c r="A48" s="1"/>
      <c r="B48" s="2"/>
      <c r="C48" s="3"/>
    </row>
    <row r="49" spans="1:3" x14ac:dyDescent="0.25">
      <c r="A49" s="1"/>
    </row>
    <row r="50" spans="1:3" x14ac:dyDescent="0.25">
      <c r="A50" s="1"/>
      <c r="B50" s="2"/>
      <c r="C50" s="3"/>
    </row>
    <row r="51" spans="1:3" x14ac:dyDescent="0.25">
      <c r="A51" s="1"/>
    </row>
    <row r="52" spans="1:3" x14ac:dyDescent="0.25">
      <c r="A52" s="1"/>
      <c r="B52" s="2"/>
      <c r="C52" s="3"/>
    </row>
    <row r="53" spans="1:3" x14ac:dyDescent="0.25">
      <c r="A53" s="1"/>
      <c r="C53" s="3"/>
    </row>
    <row r="54" spans="1:3" x14ac:dyDescent="0.25">
      <c r="A54" s="1"/>
      <c r="B54" s="2"/>
      <c r="C54" s="3"/>
    </row>
    <row r="55" spans="1:3" x14ac:dyDescent="0.25">
      <c r="A55" s="1"/>
    </row>
    <row r="56" spans="1:3" x14ac:dyDescent="0.25">
      <c r="A56" s="1"/>
    </row>
    <row r="57" spans="1:3" x14ac:dyDescent="0.25">
      <c r="A57" s="1"/>
      <c r="B57" s="2"/>
      <c r="C57" s="3"/>
    </row>
    <row r="58" spans="1:3" x14ac:dyDescent="0.25">
      <c r="A58" s="1"/>
    </row>
    <row r="59" spans="1:3" x14ac:dyDescent="0.25">
      <c r="A59" s="1"/>
      <c r="B59" s="2"/>
      <c r="C59" s="3"/>
    </row>
    <row r="60" spans="1:3" x14ac:dyDescent="0.25">
      <c r="A60" s="1"/>
      <c r="C60" s="3"/>
    </row>
    <row r="61" spans="1:3" x14ac:dyDescent="0.25">
      <c r="A61" s="6"/>
    </row>
    <row r="62" spans="1:3" x14ac:dyDescent="0.25">
      <c r="A62" s="6"/>
    </row>
    <row r="63" spans="1:3" x14ac:dyDescent="0.25">
      <c r="A63" s="6"/>
      <c r="B63" s="2"/>
      <c r="C63" s="3"/>
    </row>
    <row r="64" spans="1:3" x14ac:dyDescent="0.25">
      <c r="A64" s="6"/>
      <c r="B64" s="2"/>
      <c r="C64" s="3"/>
    </row>
    <row r="65" spans="1:3" x14ac:dyDescent="0.25">
      <c r="A65" s="6"/>
      <c r="B65" s="2"/>
      <c r="C65" s="3"/>
    </row>
    <row r="66" spans="1:3" x14ac:dyDescent="0.25">
      <c r="A66" s="1"/>
      <c r="B66" s="2"/>
      <c r="C66" s="3"/>
    </row>
    <row r="67" spans="1:3" x14ac:dyDescent="0.25">
      <c r="A67" s="1"/>
    </row>
    <row r="68" spans="1:3" x14ac:dyDescent="0.25">
      <c r="A68" s="1"/>
    </row>
    <row r="69" spans="1:3" x14ac:dyDescent="0.25">
      <c r="A69" s="1"/>
    </row>
    <row r="70" spans="1:3" x14ac:dyDescent="0.25">
      <c r="A70" s="1"/>
      <c r="B70" s="2"/>
      <c r="C70" s="3"/>
    </row>
    <row r="71" spans="1:3" x14ac:dyDescent="0.25">
      <c r="A71" s="1"/>
      <c r="B71" s="2"/>
      <c r="C71" s="3"/>
    </row>
    <row r="72" spans="1:3" x14ac:dyDescent="0.25">
      <c r="A72" s="6"/>
    </row>
    <row r="73" spans="1:3" x14ac:dyDescent="0.25">
      <c r="A73" s="6"/>
    </row>
    <row r="74" spans="1:3" x14ac:dyDescent="0.25">
      <c r="A74" s="6"/>
    </row>
    <row r="75" spans="1:3" x14ac:dyDescent="0.25">
      <c r="A75" s="6"/>
    </row>
    <row r="76" spans="1:3" x14ac:dyDescent="0.25">
      <c r="A76" s="6"/>
    </row>
    <row r="77" spans="1:3" x14ac:dyDescent="0.25">
      <c r="A77" s="1"/>
    </row>
    <row r="78" spans="1:3" x14ac:dyDescent="0.25">
      <c r="A78" s="1"/>
      <c r="C78" s="3"/>
    </row>
    <row r="79" spans="1:3" x14ac:dyDescent="0.25">
      <c r="A79" s="1"/>
    </row>
    <row r="80" spans="1:3" x14ac:dyDescent="0.25">
      <c r="A80" s="1"/>
      <c r="B80" s="2"/>
      <c r="C80" s="3"/>
    </row>
    <row r="81" spans="1:3" x14ac:dyDescent="0.25">
      <c r="A81" s="6"/>
      <c r="B81" s="2"/>
      <c r="C81" s="3"/>
    </row>
    <row r="82" spans="1:3" x14ac:dyDescent="0.25">
      <c r="A82" s="1"/>
      <c r="B82" s="2"/>
      <c r="C82" s="3"/>
    </row>
    <row r="83" spans="1:3" x14ac:dyDescent="0.25">
      <c r="A83" s="1"/>
    </row>
    <row r="84" spans="1:3" x14ac:dyDescent="0.25">
      <c r="A84" s="1"/>
    </row>
    <row r="85" spans="1:3" x14ac:dyDescent="0.25">
      <c r="A85" s="1"/>
      <c r="B85" s="2"/>
      <c r="C85" s="3"/>
    </row>
    <row r="86" spans="1:3" x14ac:dyDescent="0.25">
      <c r="A86" s="1"/>
      <c r="C86" s="3"/>
    </row>
    <row r="87" spans="1:3" x14ac:dyDescent="0.25">
      <c r="A87" s="1"/>
    </row>
    <row r="88" spans="1:3" x14ac:dyDescent="0.25">
      <c r="A88" s="1"/>
    </row>
    <row r="89" spans="1:3" x14ac:dyDescent="0.25">
      <c r="A89" s="6"/>
    </row>
    <row r="90" spans="1:3" x14ac:dyDescent="0.25">
      <c r="A90" s="6"/>
    </row>
    <row r="91" spans="1:3" x14ac:dyDescent="0.25">
      <c r="A91" s="6"/>
    </row>
    <row r="92" spans="1:3" x14ac:dyDescent="0.25">
      <c r="A92" s="6"/>
    </row>
    <row r="93" spans="1:3" x14ac:dyDescent="0.25">
      <c r="A93" s="6"/>
    </row>
    <row r="97" spans="1:3" x14ac:dyDescent="0.25">
      <c r="A97" s="1"/>
    </row>
    <row r="98" spans="1:3" x14ac:dyDescent="0.25">
      <c r="A98" s="1"/>
    </row>
    <row r="99" spans="1:3" x14ac:dyDescent="0.25">
      <c r="A99" s="1"/>
    </row>
    <row r="100" spans="1:3" x14ac:dyDescent="0.25">
      <c r="A100" s="1"/>
      <c r="B100" s="2"/>
      <c r="C100" s="3"/>
    </row>
    <row r="101" spans="1:3" x14ac:dyDescent="0.25">
      <c r="A101" s="1"/>
      <c r="B101" s="2"/>
      <c r="C101" s="3"/>
    </row>
    <row r="102" spans="1:3" x14ac:dyDescent="0.25">
      <c r="A102" s="1"/>
    </row>
    <row r="103" spans="1:3" x14ac:dyDescent="0.25">
      <c r="A103" s="1"/>
      <c r="B103" s="2"/>
      <c r="C103" s="3"/>
    </row>
    <row r="104" spans="1:3" x14ac:dyDescent="0.25">
      <c r="A104" s="1"/>
      <c r="B104" s="2"/>
      <c r="C104" s="3"/>
    </row>
    <row r="105" spans="1:3" x14ac:dyDescent="0.25">
      <c r="A105" s="1"/>
      <c r="B105" s="2"/>
      <c r="C105" s="3"/>
    </row>
    <row r="106" spans="1:3" x14ac:dyDescent="0.25">
      <c r="A106" s="1"/>
      <c r="B106" s="2"/>
      <c r="C106" s="3"/>
    </row>
    <row r="107" spans="1:3" x14ac:dyDescent="0.25">
      <c r="A107" s="1"/>
      <c r="B107" s="2"/>
      <c r="C107" s="3"/>
    </row>
    <row r="108" spans="1:3" x14ac:dyDescent="0.25">
      <c r="A108" s="1"/>
      <c r="C108" s="3"/>
    </row>
    <row r="109" spans="1:3" x14ac:dyDescent="0.25">
      <c r="A109" s="1"/>
    </row>
    <row r="110" spans="1:3" x14ac:dyDescent="0.25">
      <c r="A110" s="1"/>
      <c r="C110" s="3"/>
    </row>
    <row r="111" spans="1:3" x14ac:dyDescent="0.25">
      <c r="A111" s="1"/>
      <c r="B111" s="2"/>
      <c r="C111" s="3"/>
    </row>
    <row r="112" spans="1:3" x14ac:dyDescent="0.25">
      <c r="A112" s="1"/>
    </row>
    <row r="113" spans="1:1" x14ac:dyDescent="0.25">
      <c r="A113" s="1"/>
    </row>
    <row r="114" spans="1:1" x14ac:dyDescent="0.25">
      <c r="A114" s="6"/>
    </row>
    <row r="115" spans="1:1" x14ac:dyDescent="0.25">
      <c r="A115" s="6"/>
    </row>
    <row r="116" spans="1:1" x14ac:dyDescent="0.25">
      <c r="A116" s="6"/>
    </row>
    <row r="117" spans="1:1" x14ac:dyDescent="0.25">
      <c r="A117" s="6"/>
    </row>
    <row r="118" spans="1:1" x14ac:dyDescent="0.25">
      <c r="A118" s="6"/>
    </row>
    <row r="119" spans="1:1" x14ac:dyDescent="0.25">
      <c r="A119" s="6"/>
    </row>
    <row r="120" spans="1:1" x14ac:dyDescent="0.25">
      <c r="A120" s="6"/>
    </row>
    <row r="121" spans="1:1" x14ac:dyDescent="0.25">
      <c r="A121" s="6"/>
    </row>
    <row r="122" spans="1:1" x14ac:dyDescent="0.25">
      <c r="A122" s="6"/>
    </row>
    <row r="123" spans="1:1" x14ac:dyDescent="0.25">
      <c r="A123" s="6"/>
    </row>
    <row r="124" spans="1:1" x14ac:dyDescent="0.25">
      <c r="A124" s="6"/>
    </row>
    <row r="125" spans="1:1" x14ac:dyDescent="0.25">
      <c r="A125" s="6"/>
    </row>
    <row r="147" spans="1:3" x14ac:dyDescent="0.25">
      <c r="A147" s="7" t="s">
        <v>4</v>
      </c>
      <c r="C147" s="5">
        <f>SUM(C1:C146)</f>
        <v>11</v>
      </c>
    </row>
  </sheetData>
  <sortState xmlns:xlrd2="http://schemas.microsoft.com/office/spreadsheetml/2017/richdata2" ref="A1:C93">
    <sortCondition ref="A9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AE95A-C168-4B9D-9396-BB63589B39FA}">
  <dimension ref="A1:C16"/>
  <sheetViews>
    <sheetView zoomScale="145" zoomScaleNormal="145" workbookViewId="0">
      <selection activeCell="C12" sqref="A2:C12"/>
    </sheetView>
  </sheetViews>
  <sheetFormatPr defaultRowHeight="15" x14ac:dyDescent="0.25"/>
  <cols>
    <col min="1" max="1" width="11" style="2" bestFit="1" customWidth="1"/>
    <col min="2" max="2" width="65.5703125" style="2" bestFit="1" customWidth="1"/>
    <col min="3" max="3" width="13.28515625" style="3" bestFit="1" customWidth="1"/>
    <col min="4" max="16384" width="9.140625" style="2"/>
  </cols>
  <sheetData>
    <row r="1" spans="1:3" x14ac:dyDescent="0.25">
      <c r="A1" s="25">
        <v>46209</v>
      </c>
      <c r="B1" s="26" t="s">
        <v>23</v>
      </c>
      <c r="C1" s="12">
        <v>513.44000000000005</v>
      </c>
    </row>
    <row r="2" spans="1:3" x14ac:dyDescent="0.25">
      <c r="A2" s="25"/>
      <c r="B2" s="26"/>
      <c r="C2" s="27"/>
    </row>
    <row r="3" spans="1:3" x14ac:dyDescent="0.25">
      <c r="A3" s="25"/>
      <c r="B3" s="26"/>
      <c r="C3" s="12"/>
    </row>
    <row r="4" spans="1:3" x14ac:dyDescent="0.25">
      <c r="A4" s="25"/>
      <c r="B4" s="26"/>
      <c r="C4" s="12"/>
    </row>
    <row r="5" spans="1:3" x14ac:dyDescent="0.25">
      <c r="A5" s="25"/>
      <c r="B5" s="26"/>
      <c r="C5" s="12"/>
    </row>
    <row r="6" spans="1:3" x14ac:dyDescent="0.25">
      <c r="A6" s="25"/>
      <c r="B6" s="26"/>
      <c r="C6" s="12"/>
    </row>
    <row r="7" spans="1:3" x14ac:dyDescent="0.25">
      <c r="A7" s="28"/>
      <c r="B7" s="29"/>
      <c r="C7" s="12"/>
    </row>
    <row r="8" spans="1:3" x14ac:dyDescent="0.25">
      <c r="A8" s="28"/>
      <c r="B8" s="29"/>
      <c r="C8" s="12"/>
    </row>
    <row r="9" spans="1:3" x14ac:dyDescent="0.25">
      <c r="A9" s="28"/>
      <c r="B9" s="29"/>
      <c r="C9" s="12"/>
    </row>
    <row r="10" spans="1:3" x14ac:dyDescent="0.25">
      <c r="A10" s="28"/>
      <c r="B10" s="29"/>
      <c r="C10" s="12"/>
    </row>
    <row r="11" spans="1:3" x14ac:dyDescent="0.25">
      <c r="A11" s="30"/>
      <c r="B11" s="26"/>
      <c r="C11" s="12"/>
    </row>
    <row r="12" spans="1:3" x14ac:dyDescent="0.25">
      <c r="A12" s="30"/>
      <c r="B12" s="26"/>
      <c r="C12" s="12"/>
    </row>
    <row r="13" spans="1:3" x14ac:dyDescent="0.25">
      <c r="A13" s="30"/>
      <c r="B13" s="26"/>
      <c r="C13" s="12"/>
    </row>
    <row r="14" spans="1:3" x14ac:dyDescent="0.25">
      <c r="A14" s="30"/>
      <c r="B14" s="26"/>
      <c r="C14" s="12"/>
    </row>
    <row r="16" spans="1:3" x14ac:dyDescent="0.25">
      <c r="A16" s="2" t="s">
        <v>4</v>
      </c>
      <c r="C16" s="3">
        <f>SUM(C1:C15)</f>
        <v>513.44000000000005</v>
      </c>
    </row>
  </sheetData>
  <sortState xmlns:xlrd2="http://schemas.microsoft.com/office/spreadsheetml/2017/richdata2" ref="A2:C12">
    <sortCondition ref="A1:A12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516FC-ED40-40EB-A272-C631C97B960D}">
  <dimension ref="A1:C20"/>
  <sheetViews>
    <sheetView zoomScale="145" zoomScaleNormal="145" workbookViewId="0">
      <selection activeCell="C10" sqref="A2:C10"/>
    </sheetView>
  </sheetViews>
  <sheetFormatPr defaultRowHeight="15" x14ac:dyDescent="0.25"/>
  <cols>
    <col min="1" max="1" width="11.140625" style="4" bestFit="1" customWidth="1"/>
    <col min="2" max="2" width="57.42578125" style="4" bestFit="1" customWidth="1"/>
    <col min="3" max="3" width="13.28515625" style="5" bestFit="1" customWidth="1"/>
    <col min="4" max="16384" width="9.140625" style="2"/>
  </cols>
  <sheetData>
    <row r="1" spans="1:3" x14ac:dyDescent="0.25">
      <c r="A1" s="6">
        <v>46204</v>
      </c>
      <c r="B1" s="4" t="s">
        <v>20</v>
      </c>
      <c r="C1" s="5">
        <v>3000</v>
      </c>
    </row>
    <row r="2" spans="1:3" x14ac:dyDescent="0.25">
      <c r="A2" s="6"/>
    </row>
    <row r="3" spans="1:3" x14ac:dyDescent="0.25">
      <c r="A3" s="6"/>
    </row>
    <row r="4" spans="1:3" x14ac:dyDescent="0.25">
      <c r="A4" s="6"/>
    </row>
    <row r="5" spans="1:3" x14ac:dyDescent="0.25">
      <c r="A5" s="6"/>
    </row>
    <row r="6" spans="1:3" x14ac:dyDescent="0.25">
      <c r="A6" s="6"/>
    </row>
    <row r="7" spans="1:3" x14ac:dyDescent="0.25">
      <c r="A7" s="6"/>
    </row>
    <row r="8" spans="1:3" x14ac:dyDescent="0.25">
      <c r="A8" s="6"/>
    </row>
    <row r="9" spans="1:3" x14ac:dyDescent="0.25">
      <c r="A9" s="6"/>
    </row>
    <row r="10" spans="1:3" x14ac:dyDescent="0.25">
      <c r="A10" s="6"/>
    </row>
    <row r="11" spans="1:3" x14ac:dyDescent="0.25">
      <c r="A11" s="1"/>
      <c r="B11" s="2"/>
    </row>
    <row r="12" spans="1:3" x14ac:dyDescent="0.25">
      <c r="A12" s="6"/>
    </row>
    <row r="13" spans="1:3" x14ac:dyDescent="0.25">
      <c r="A13" s="6"/>
    </row>
    <row r="14" spans="1:3" x14ac:dyDescent="0.25">
      <c r="A14" s="8"/>
    </row>
    <row r="15" spans="1:3" x14ac:dyDescent="0.25">
      <c r="A15" s="6"/>
    </row>
    <row r="20" spans="1:3" x14ac:dyDescent="0.25">
      <c r="A20" s="8" t="s">
        <v>4</v>
      </c>
      <c r="C20" s="5">
        <f>SUM(C1:C19)</f>
        <v>3000</v>
      </c>
    </row>
  </sheetData>
  <sortState xmlns:xlrd2="http://schemas.microsoft.com/office/spreadsheetml/2017/richdata2" ref="A1:C10">
    <sortCondition ref="A1:A10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3DC5F-17F2-4322-8B5B-8BDDD3AFD14D}">
  <dimension ref="A1:F81"/>
  <sheetViews>
    <sheetView zoomScale="145" zoomScaleNormal="145" workbookViewId="0">
      <selection activeCell="B5" sqref="B5"/>
    </sheetView>
  </sheetViews>
  <sheetFormatPr defaultRowHeight="15" x14ac:dyDescent="0.25"/>
  <cols>
    <col min="1" max="1" width="11.140625" style="4" bestFit="1" customWidth="1"/>
    <col min="2" max="2" width="72.85546875" style="4" customWidth="1"/>
    <col min="3" max="3" width="14.5703125" style="5" bestFit="1" customWidth="1"/>
    <col min="4" max="16384" width="9.140625" style="2"/>
  </cols>
  <sheetData>
    <row r="1" spans="1:6" x14ac:dyDescent="0.25">
      <c r="A1" s="6">
        <v>46224</v>
      </c>
      <c r="B1" s="10" t="s">
        <v>36</v>
      </c>
      <c r="C1" s="5">
        <v>1039.58</v>
      </c>
    </row>
    <row r="2" spans="1:6" x14ac:dyDescent="0.25">
      <c r="A2" s="6"/>
    </row>
    <row r="3" spans="1:6" x14ac:dyDescent="0.25">
      <c r="A3" s="6"/>
    </row>
    <row r="4" spans="1:6" x14ac:dyDescent="0.25">
      <c r="A4" s="6"/>
    </row>
    <row r="5" spans="1:6" x14ac:dyDescent="0.25">
      <c r="A5" s="6"/>
    </row>
    <row r="6" spans="1:6" x14ac:dyDescent="0.25">
      <c r="A6" s="6"/>
    </row>
    <row r="7" spans="1:6" x14ac:dyDescent="0.25">
      <c r="A7" s="6"/>
    </row>
    <row r="8" spans="1:6" x14ac:dyDescent="0.25">
      <c r="A8" s="6"/>
      <c r="D8" s="8"/>
      <c r="E8" s="4"/>
      <c r="F8" s="5"/>
    </row>
    <row r="9" spans="1:6" x14ac:dyDescent="0.25">
      <c r="A9" s="6"/>
    </row>
    <row r="10" spans="1:6" x14ac:dyDescent="0.25">
      <c r="A10" s="6"/>
    </row>
    <row r="11" spans="1:6" x14ac:dyDescent="0.25">
      <c r="A11" s="6"/>
    </row>
    <row r="12" spans="1:6" x14ac:dyDescent="0.25">
      <c r="A12" s="6"/>
    </row>
    <row r="13" spans="1:6" x14ac:dyDescent="0.25">
      <c r="A13" s="6"/>
    </row>
    <row r="14" spans="1:6" x14ac:dyDescent="0.25">
      <c r="A14" s="6"/>
    </row>
    <row r="15" spans="1:6" x14ac:dyDescent="0.25">
      <c r="A15" s="6"/>
    </row>
    <row r="16" spans="1:6" x14ac:dyDescent="0.25">
      <c r="A16" s="6"/>
    </row>
    <row r="17" spans="1:3" x14ac:dyDescent="0.25">
      <c r="A17" s="6"/>
    </row>
    <row r="18" spans="1:3" x14ac:dyDescent="0.25">
      <c r="A18" s="6"/>
    </row>
    <row r="19" spans="1:3" x14ac:dyDescent="0.25">
      <c r="A19" s="6"/>
    </row>
    <row r="20" spans="1:3" x14ac:dyDescent="0.25">
      <c r="A20" s="6"/>
    </row>
    <row r="21" spans="1:3" x14ac:dyDescent="0.25">
      <c r="A21" s="6"/>
    </row>
    <row r="22" spans="1:3" x14ac:dyDescent="0.25">
      <c r="A22" s="6"/>
    </row>
    <row r="23" spans="1:3" x14ac:dyDescent="0.25">
      <c r="A23" s="6"/>
    </row>
    <row r="24" spans="1:3" x14ac:dyDescent="0.25">
      <c r="A24" s="6"/>
    </row>
    <row r="25" spans="1:3" x14ac:dyDescent="0.25">
      <c r="A25" s="6"/>
    </row>
    <row r="26" spans="1:3" x14ac:dyDescent="0.25">
      <c r="A26" s="6"/>
    </row>
    <row r="27" spans="1:3" x14ac:dyDescent="0.25">
      <c r="A27" s="6"/>
    </row>
    <row r="28" spans="1:3" x14ac:dyDescent="0.25">
      <c r="A28" s="6"/>
    </row>
    <row r="29" spans="1:3" x14ac:dyDescent="0.25">
      <c r="A29" s="6"/>
    </row>
    <row r="30" spans="1:3" x14ac:dyDescent="0.25">
      <c r="A30" s="1"/>
      <c r="B30" s="2"/>
      <c r="C30" s="3"/>
    </row>
    <row r="31" spans="1:3" x14ac:dyDescent="0.25">
      <c r="A31" s="1"/>
      <c r="B31" s="2"/>
      <c r="C31" s="3"/>
    </row>
    <row r="32" spans="1:3" x14ac:dyDescent="0.25">
      <c r="A32" s="1"/>
      <c r="B32" s="2"/>
      <c r="C32" s="3"/>
    </row>
    <row r="33" spans="1:3" x14ac:dyDescent="0.25">
      <c r="A33" s="1"/>
      <c r="B33" s="2"/>
      <c r="C33" s="3"/>
    </row>
    <row r="34" spans="1:3" x14ac:dyDescent="0.25">
      <c r="A34" s="1"/>
      <c r="C34" s="3"/>
    </row>
    <row r="35" spans="1:3" x14ac:dyDescent="0.25">
      <c r="A35" s="1"/>
      <c r="B35" s="2"/>
      <c r="C35" s="3"/>
    </row>
    <row r="36" spans="1:3" x14ac:dyDescent="0.25">
      <c r="A36" s="1"/>
      <c r="B36" s="2"/>
      <c r="C36" s="3"/>
    </row>
    <row r="37" spans="1:3" x14ac:dyDescent="0.25">
      <c r="A37" s="1"/>
      <c r="B37" s="2"/>
      <c r="C37" s="3"/>
    </row>
    <row r="38" spans="1:3" x14ac:dyDescent="0.25">
      <c r="A38" s="1"/>
      <c r="B38" s="2"/>
      <c r="C38" s="3"/>
    </row>
    <row r="39" spans="1:3" x14ac:dyDescent="0.25">
      <c r="A39" s="1"/>
    </row>
    <row r="40" spans="1:3" x14ac:dyDescent="0.25">
      <c r="A40" s="1"/>
      <c r="B40" s="2"/>
      <c r="C40" s="3"/>
    </row>
    <row r="41" spans="1:3" x14ac:dyDescent="0.25">
      <c r="A41" s="1"/>
      <c r="C41" s="3"/>
    </row>
    <row r="42" spans="1:3" x14ac:dyDescent="0.25">
      <c r="A42" s="1"/>
      <c r="B42" s="2"/>
      <c r="C42" s="3"/>
    </row>
    <row r="43" spans="1:3" x14ac:dyDescent="0.25">
      <c r="A43" s="1"/>
    </row>
    <row r="44" spans="1:3" x14ac:dyDescent="0.25">
      <c r="A44" s="6"/>
    </row>
    <row r="45" spans="1:3" x14ac:dyDescent="0.25">
      <c r="A45" s="6"/>
    </row>
    <row r="46" spans="1:3" x14ac:dyDescent="0.25">
      <c r="A46" s="6"/>
    </row>
    <row r="47" spans="1:3" x14ac:dyDescent="0.25">
      <c r="A47" s="5"/>
    </row>
    <row r="48" spans="1:3" x14ac:dyDescent="0.25">
      <c r="A48" s="5"/>
    </row>
    <row r="49" spans="1:1" x14ac:dyDescent="0.25">
      <c r="A49" s="5"/>
    </row>
    <row r="50" spans="1:1" x14ac:dyDescent="0.25">
      <c r="A50" s="5"/>
    </row>
    <row r="51" spans="1:1" x14ac:dyDescent="0.25">
      <c r="A51" s="5"/>
    </row>
    <row r="52" spans="1:1" x14ac:dyDescent="0.25">
      <c r="A52" s="5"/>
    </row>
    <row r="53" spans="1:1" x14ac:dyDescent="0.25">
      <c r="A53" s="5"/>
    </row>
    <row r="54" spans="1:1" x14ac:dyDescent="0.25">
      <c r="A54" s="5"/>
    </row>
    <row r="55" spans="1:1" x14ac:dyDescent="0.25">
      <c r="A55" s="5"/>
    </row>
    <row r="56" spans="1:1" x14ac:dyDescent="0.25">
      <c r="A56" s="5"/>
    </row>
    <row r="57" spans="1:1" x14ac:dyDescent="0.25">
      <c r="A57" s="5"/>
    </row>
    <row r="58" spans="1:1" x14ac:dyDescent="0.25">
      <c r="A58" s="5"/>
    </row>
    <row r="59" spans="1:1" x14ac:dyDescent="0.25">
      <c r="A59" s="5"/>
    </row>
    <row r="60" spans="1:1" x14ac:dyDescent="0.25">
      <c r="A60" s="5"/>
    </row>
    <row r="61" spans="1:1" x14ac:dyDescent="0.25">
      <c r="A61" s="5"/>
    </row>
    <row r="62" spans="1:1" x14ac:dyDescent="0.25">
      <c r="A62" s="5"/>
    </row>
    <row r="81" spans="1:3" x14ac:dyDescent="0.25">
      <c r="A81" s="8" t="s">
        <v>4</v>
      </c>
      <c r="C81" s="5">
        <f>SUM(C1:C80)</f>
        <v>1039.58</v>
      </c>
    </row>
  </sheetData>
  <sortState xmlns:xlrd2="http://schemas.microsoft.com/office/spreadsheetml/2017/richdata2" ref="A1:C43">
    <sortCondition ref="A4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DEE1A7-8A39-4047-9A74-DB641E927137}">
  <dimension ref="A1:C25"/>
  <sheetViews>
    <sheetView zoomScale="145" zoomScaleNormal="145" workbookViewId="0">
      <selection activeCell="A2" sqref="A2:D9"/>
    </sheetView>
  </sheetViews>
  <sheetFormatPr defaultRowHeight="15" x14ac:dyDescent="0.25"/>
  <cols>
    <col min="1" max="1" width="11.140625" style="2" bestFit="1" customWidth="1"/>
    <col min="2" max="2" width="81.5703125" style="4" customWidth="1"/>
    <col min="3" max="3" width="14.5703125" style="3" bestFit="1" customWidth="1"/>
    <col min="4" max="16384" width="9.140625" style="2"/>
  </cols>
  <sheetData>
    <row r="1" spans="1:3" x14ac:dyDescent="0.25">
      <c r="A1" s="1">
        <v>46204</v>
      </c>
      <c r="B1" s="4" t="s">
        <v>21</v>
      </c>
      <c r="C1" s="3">
        <v>7296.02</v>
      </c>
    </row>
    <row r="2" spans="1:3" x14ac:dyDescent="0.25">
      <c r="A2" s="1"/>
    </row>
    <row r="3" spans="1:3" x14ac:dyDescent="0.25">
      <c r="A3" s="1"/>
    </row>
    <row r="4" spans="1:3" x14ac:dyDescent="0.25">
      <c r="A4" s="1"/>
    </row>
    <row r="5" spans="1:3" x14ac:dyDescent="0.25">
      <c r="A5" s="1"/>
    </row>
    <row r="6" spans="1:3" x14ac:dyDescent="0.25">
      <c r="A6" s="1"/>
    </row>
    <row r="7" spans="1:3" x14ac:dyDescent="0.25">
      <c r="A7" s="1"/>
    </row>
    <row r="8" spans="1:3" x14ac:dyDescent="0.25">
      <c r="A8" s="1"/>
    </row>
    <row r="9" spans="1:3" x14ac:dyDescent="0.25">
      <c r="A9" s="1"/>
    </row>
    <row r="10" spans="1:3" x14ac:dyDescent="0.25">
      <c r="A10" s="9"/>
    </row>
    <row r="11" spans="1:3" x14ac:dyDescent="0.25">
      <c r="A11" s="9"/>
    </row>
    <row r="12" spans="1:3" x14ac:dyDescent="0.25">
      <c r="A12" s="9"/>
    </row>
    <row r="13" spans="1:3" x14ac:dyDescent="0.25">
      <c r="A13" s="9"/>
    </row>
    <row r="14" spans="1:3" x14ac:dyDescent="0.25">
      <c r="A14" s="9"/>
    </row>
    <row r="15" spans="1:3" x14ac:dyDescent="0.25">
      <c r="A15" s="9"/>
    </row>
    <row r="16" spans="1:3" x14ac:dyDescent="0.25">
      <c r="A16" s="9"/>
    </row>
    <row r="17" spans="1:3" x14ac:dyDescent="0.25">
      <c r="A17" s="9"/>
    </row>
    <row r="18" spans="1:3" x14ac:dyDescent="0.25">
      <c r="A18" s="9"/>
    </row>
    <row r="19" spans="1:3" x14ac:dyDescent="0.25">
      <c r="A19" s="9"/>
    </row>
    <row r="20" spans="1:3" x14ac:dyDescent="0.25">
      <c r="A20" s="9"/>
    </row>
    <row r="25" spans="1:3" x14ac:dyDescent="0.25">
      <c r="A25" s="1" t="s">
        <v>4</v>
      </c>
      <c r="C25" s="3">
        <f>SUM(C1:C24)</f>
        <v>7296.02</v>
      </c>
    </row>
  </sheetData>
  <sortState xmlns:xlrd2="http://schemas.microsoft.com/office/spreadsheetml/2017/richdata2" ref="A1:C10">
    <sortCondition ref="A1:A10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72C1C-2386-4CA0-BB96-E48F4A772378}">
  <dimension ref="A1:F79"/>
  <sheetViews>
    <sheetView topLeftCell="A64" zoomScale="145" zoomScaleNormal="145" workbookViewId="0">
      <selection activeCell="B74" sqref="B74"/>
    </sheetView>
  </sheetViews>
  <sheetFormatPr defaultRowHeight="15" x14ac:dyDescent="0.25"/>
  <cols>
    <col min="1" max="1" width="12.7109375" style="13" customWidth="1"/>
    <col min="2" max="2" width="111" style="13" bestFit="1" customWidth="1"/>
    <col min="3" max="3" width="13.5703125" style="14" bestFit="1" customWidth="1"/>
    <col min="4" max="4" width="12.140625" style="13" bestFit="1" customWidth="1"/>
    <col min="5" max="5" width="13.140625" style="15" customWidth="1"/>
    <col min="6" max="16384" width="9.140625" style="15"/>
  </cols>
  <sheetData>
    <row r="1" spans="1:6" x14ac:dyDescent="0.25">
      <c r="A1" s="13" t="s">
        <v>0</v>
      </c>
      <c r="B1" s="13" t="s">
        <v>1</v>
      </c>
      <c r="C1" s="14" t="s">
        <v>2</v>
      </c>
      <c r="D1" s="13" t="s">
        <v>3</v>
      </c>
      <c r="F1" s="15" t="s">
        <v>12</v>
      </c>
    </row>
    <row r="2" spans="1:6" x14ac:dyDescent="0.25">
      <c r="A2" s="23">
        <v>46204</v>
      </c>
      <c r="B2" s="21" t="s">
        <v>24</v>
      </c>
      <c r="C2" s="22">
        <v>1587.22</v>
      </c>
      <c r="D2" s="17" t="s">
        <v>27</v>
      </c>
    </row>
    <row r="3" spans="1:6" x14ac:dyDescent="0.25">
      <c r="A3" s="23">
        <v>46204</v>
      </c>
      <c r="B3" s="21" t="s">
        <v>25</v>
      </c>
      <c r="C3" s="22">
        <v>593.34</v>
      </c>
      <c r="D3" s="13" t="s">
        <v>13</v>
      </c>
    </row>
    <row r="4" spans="1:6" x14ac:dyDescent="0.25">
      <c r="A4" s="23">
        <v>46206</v>
      </c>
      <c r="B4" s="21" t="s">
        <v>26</v>
      </c>
      <c r="C4" s="22">
        <v>496.12</v>
      </c>
      <c r="D4" s="13" t="s">
        <v>28</v>
      </c>
    </row>
    <row r="5" spans="1:6" x14ac:dyDescent="0.25">
      <c r="A5" s="23">
        <v>46230</v>
      </c>
      <c r="B5" s="21" t="s">
        <v>31</v>
      </c>
      <c r="C5" s="31">
        <v>349.9</v>
      </c>
      <c r="D5" s="13" t="s">
        <v>32</v>
      </c>
      <c r="F5" s="15" t="s">
        <v>16</v>
      </c>
    </row>
    <row r="6" spans="1:6" x14ac:dyDescent="0.25">
      <c r="A6" s="23"/>
      <c r="B6" s="21"/>
      <c r="C6" s="22"/>
      <c r="D6" s="17"/>
    </row>
    <row r="7" spans="1:6" x14ac:dyDescent="0.25">
      <c r="A7" s="23"/>
      <c r="B7" s="21"/>
      <c r="C7" s="22"/>
      <c r="F7" s="2" t="s">
        <v>17</v>
      </c>
    </row>
    <row r="8" spans="1:6" x14ac:dyDescent="0.25">
      <c r="A8" s="23"/>
      <c r="B8" s="21"/>
      <c r="C8" s="22"/>
    </row>
    <row r="9" spans="1:6" x14ac:dyDescent="0.25">
      <c r="F9" s="15" t="s">
        <v>33</v>
      </c>
    </row>
    <row r="11" spans="1:6" x14ac:dyDescent="0.25">
      <c r="A11" s="23"/>
      <c r="B11" s="21"/>
      <c r="C11" s="22"/>
      <c r="F11" s="15" t="s">
        <v>34</v>
      </c>
    </row>
    <row r="12" spans="1:6" x14ac:dyDescent="0.25">
      <c r="A12" s="23"/>
      <c r="B12" s="21"/>
      <c r="C12" s="22"/>
      <c r="D12" s="17"/>
    </row>
    <row r="13" spans="1:6" x14ac:dyDescent="0.25">
      <c r="A13" s="23"/>
      <c r="B13" s="21"/>
      <c r="C13" s="22"/>
    </row>
    <row r="14" spans="1:6" x14ac:dyDescent="0.25">
      <c r="A14" s="23"/>
      <c r="B14" s="21"/>
      <c r="C14" s="22"/>
      <c r="D14" s="17"/>
      <c r="F14" s="32" t="s">
        <v>35</v>
      </c>
    </row>
    <row r="15" spans="1:6" x14ac:dyDescent="0.25">
      <c r="A15" s="23"/>
      <c r="B15" s="21"/>
      <c r="C15" s="22"/>
    </row>
    <row r="16" spans="1:6" x14ac:dyDescent="0.25">
      <c r="A16" s="23"/>
      <c r="B16" s="21"/>
      <c r="C16" s="22"/>
    </row>
    <row r="17" spans="1:4" x14ac:dyDescent="0.25">
      <c r="A17" s="23"/>
      <c r="B17" s="21"/>
      <c r="C17" s="22"/>
    </row>
    <row r="18" spans="1:4" x14ac:dyDescent="0.25">
      <c r="A18" s="23"/>
      <c r="B18" s="21"/>
      <c r="C18" s="22"/>
      <c r="D18" s="17"/>
    </row>
    <row r="19" spans="1:4" x14ac:dyDescent="0.25">
      <c r="A19" s="23"/>
      <c r="B19" s="21"/>
      <c r="C19" s="22"/>
    </row>
    <row r="20" spans="1:4" x14ac:dyDescent="0.25">
      <c r="A20" s="23"/>
      <c r="B20" s="21"/>
      <c r="C20" s="22"/>
      <c r="D20" s="17"/>
    </row>
    <row r="21" spans="1:4" x14ac:dyDescent="0.25">
      <c r="A21" s="23"/>
      <c r="B21" s="21"/>
      <c r="C21" s="22"/>
      <c r="D21" s="17"/>
    </row>
    <row r="22" spans="1:4" x14ac:dyDescent="0.25">
      <c r="A22" s="23"/>
      <c r="B22" s="21"/>
      <c r="C22" s="22"/>
      <c r="D22" s="17"/>
    </row>
    <row r="23" spans="1:4" x14ac:dyDescent="0.25">
      <c r="A23" s="23"/>
      <c r="B23" s="21"/>
      <c r="C23" s="22"/>
      <c r="D23" s="17"/>
    </row>
    <row r="24" spans="1:4" x14ac:dyDescent="0.25">
      <c r="A24" s="23"/>
      <c r="B24" s="21"/>
      <c r="C24" s="22"/>
      <c r="D24" s="17"/>
    </row>
    <row r="25" spans="1:4" x14ac:dyDescent="0.25">
      <c r="A25" s="23"/>
      <c r="B25" s="21"/>
      <c r="C25" s="22"/>
      <c r="D25" s="17"/>
    </row>
    <row r="26" spans="1:4" x14ac:dyDescent="0.25">
      <c r="A26" s="23"/>
      <c r="B26" s="21"/>
      <c r="C26" s="22"/>
    </row>
    <row r="28" spans="1:4" x14ac:dyDescent="0.25">
      <c r="A28" s="23"/>
      <c r="B28" s="21"/>
      <c r="C28" s="22"/>
      <c r="D28" s="17"/>
    </row>
    <row r="29" spans="1:4" x14ac:dyDescent="0.25">
      <c r="A29" s="23"/>
      <c r="B29" s="21"/>
      <c r="C29" s="22"/>
      <c r="D29" s="17"/>
    </row>
    <row r="30" spans="1:4" x14ac:dyDescent="0.25">
      <c r="A30" s="23"/>
      <c r="B30" s="21"/>
      <c r="C30" s="22"/>
    </row>
    <row r="31" spans="1:4" x14ac:dyDescent="0.25">
      <c r="A31" s="23"/>
      <c r="B31" s="21"/>
      <c r="C31" s="22"/>
      <c r="D31" s="17"/>
    </row>
    <row r="32" spans="1:4" x14ac:dyDescent="0.25">
      <c r="A32" s="23"/>
      <c r="B32" s="21"/>
      <c r="C32" s="22"/>
      <c r="D32" s="17"/>
    </row>
    <row r="33" spans="1:4" x14ac:dyDescent="0.25">
      <c r="A33" s="23"/>
      <c r="B33" s="21"/>
      <c r="C33" s="22"/>
      <c r="D33" s="17"/>
    </row>
    <row r="34" spans="1:4" x14ac:dyDescent="0.25">
      <c r="A34" s="23"/>
      <c r="B34" s="21"/>
      <c r="C34" s="22"/>
    </row>
    <row r="35" spans="1:4" x14ac:dyDescent="0.25">
      <c r="A35" s="23"/>
      <c r="B35" s="21"/>
      <c r="C35" s="22"/>
    </row>
    <row r="36" spans="1:4" x14ac:dyDescent="0.25">
      <c r="A36" s="23"/>
      <c r="B36" s="21"/>
      <c r="C36" s="22"/>
      <c r="D36" s="17"/>
    </row>
    <row r="37" spans="1:4" x14ac:dyDescent="0.25">
      <c r="A37" s="23"/>
      <c r="B37" s="21"/>
      <c r="C37" s="22"/>
      <c r="D37" s="17"/>
    </row>
    <row r="38" spans="1:4" x14ac:dyDescent="0.25">
      <c r="A38" s="23"/>
      <c r="B38" s="21"/>
      <c r="C38" s="22"/>
    </row>
    <row r="39" spans="1:4" x14ac:dyDescent="0.25">
      <c r="A39" s="23"/>
      <c r="B39" s="21"/>
      <c r="C39" s="22"/>
    </row>
    <row r="40" spans="1:4" x14ac:dyDescent="0.25">
      <c r="A40" s="23"/>
      <c r="B40" s="21"/>
      <c r="C40" s="22"/>
    </row>
    <row r="41" spans="1:4" x14ac:dyDescent="0.25">
      <c r="A41" s="23"/>
      <c r="B41" s="21"/>
      <c r="C41" s="31"/>
    </row>
    <row r="42" spans="1:4" x14ac:dyDescent="0.25">
      <c r="A42" s="23"/>
      <c r="B42" s="21"/>
      <c r="C42" s="31"/>
    </row>
    <row r="43" spans="1:4" x14ac:dyDescent="0.25">
      <c r="A43" s="23"/>
      <c r="B43" s="21"/>
      <c r="C43" s="31"/>
    </row>
    <row r="45" spans="1:4" x14ac:dyDescent="0.25">
      <c r="A45" s="23"/>
      <c r="B45" s="21"/>
      <c r="C45" s="31"/>
    </row>
    <row r="46" spans="1:4" x14ac:dyDescent="0.25">
      <c r="A46" s="23"/>
      <c r="B46" s="21"/>
      <c r="C46" s="31"/>
    </row>
    <row r="47" spans="1:4" x14ac:dyDescent="0.25">
      <c r="A47" s="23"/>
      <c r="B47" s="21"/>
      <c r="C47" s="31"/>
    </row>
    <row r="48" spans="1:4" x14ac:dyDescent="0.25">
      <c r="A48" s="23"/>
      <c r="B48" s="21"/>
      <c r="C48" s="31"/>
    </row>
    <row r="49" spans="1:4" x14ac:dyDescent="0.25">
      <c r="A49" s="23"/>
      <c r="B49" s="21"/>
      <c r="C49" s="31"/>
    </row>
    <row r="50" spans="1:4" x14ac:dyDescent="0.25">
      <c r="A50" s="23"/>
      <c r="B50" s="21"/>
      <c r="C50" s="31"/>
    </row>
    <row r="51" spans="1:4" x14ac:dyDescent="0.25">
      <c r="A51" s="23"/>
      <c r="B51" s="21"/>
      <c r="C51" s="31"/>
    </row>
    <row r="52" spans="1:4" x14ac:dyDescent="0.25">
      <c r="A52" s="37"/>
      <c r="B52" s="33"/>
      <c r="C52" s="34"/>
      <c r="D52" s="35"/>
    </row>
    <row r="53" spans="1:4" x14ac:dyDescent="0.25">
      <c r="A53" s="37"/>
      <c r="B53" s="33"/>
      <c r="C53" s="34"/>
      <c r="D53" s="35"/>
    </row>
    <row r="54" spans="1:4" x14ac:dyDescent="0.25">
      <c r="A54" s="37"/>
      <c r="B54" s="33"/>
      <c r="C54" s="34"/>
      <c r="D54" s="35"/>
    </row>
    <row r="55" spans="1:4" x14ac:dyDescent="0.25">
      <c r="A55" s="37"/>
      <c r="B55" s="33"/>
      <c r="C55" s="34"/>
      <c r="D55" s="35"/>
    </row>
    <row r="56" spans="1:4" x14ac:dyDescent="0.25">
      <c r="A56" s="37"/>
      <c r="B56" s="33"/>
      <c r="C56" s="34"/>
      <c r="D56" s="35"/>
    </row>
    <row r="57" spans="1:4" x14ac:dyDescent="0.25">
      <c r="A57" s="37"/>
      <c r="B57" s="33"/>
      <c r="C57" s="34"/>
      <c r="D57" s="35"/>
    </row>
    <row r="58" spans="1:4" x14ac:dyDescent="0.25">
      <c r="A58" s="37"/>
      <c r="B58" s="33"/>
      <c r="C58" s="34"/>
      <c r="D58" s="35"/>
    </row>
    <row r="59" spans="1:4" x14ac:dyDescent="0.25">
      <c r="A59" s="37"/>
      <c r="B59" s="36"/>
      <c r="C59" s="22"/>
      <c r="D59" s="35"/>
    </row>
    <row r="60" spans="1:4" x14ac:dyDescent="0.25">
      <c r="A60" s="37"/>
      <c r="B60" s="33"/>
      <c r="C60" s="34"/>
      <c r="D60" s="35"/>
    </row>
    <row r="61" spans="1:4" x14ac:dyDescent="0.25">
      <c r="A61" s="37"/>
      <c r="B61" s="33"/>
      <c r="C61" s="34"/>
      <c r="D61" s="35"/>
    </row>
    <row r="62" spans="1:4" x14ac:dyDescent="0.25">
      <c r="B62" s="15"/>
      <c r="C62" s="16"/>
    </row>
    <row r="77" spans="1:4" x14ac:dyDescent="0.25">
      <c r="A77" s="17" t="s">
        <v>4</v>
      </c>
      <c r="C77" s="14">
        <f>SUM(C2:C76)</f>
        <v>3026.58</v>
      </c>
    </row>
    <row r="79" spans="1:4" x14ac:dyDescent="0.25">
      <c r="C79" s="14">
        <v>0</v>
      </c>
      <c r="D79" s="13" t="s">
        <v>13</v>
      </c>
    </row>
  </sheetData>
  <autoFilter ref="A1:D63" xr:uid="{F4272C1C-2386-4CA0-BB96-E48F4A772378}"/>
  <sortState xmlns:xlrd2="http://schemas.microsoft.com/office/spreadsheetml/2017/richdata2" ref="A2:D63">
    <sortCondition ref="A63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6E67F-C9CD-49F2-9916-ECC50E986E98}">
  <dimension ref="A1:C10"/>
  <sheetViews>
    <sheetView zoomScale="145" zoomScaleNormal="145" workbookViewId="0">
      <selection activeCell="A2" sqref="A2:C7"/>
    </sheetView>
  </sheetViews>
  <sheetFormatPr defaultRowHeight="15" x14ac:dyDescent="0.25"/>
  <cols>
    <col min="1" max="1" width="11.140625" style="2" bestFit="1" customWidth="1"/>
    <col min="2" max="2" width="109.7109375" style="2" bestFit="1" customWidth="1"/>
    <col min="3" max="3" width="13.28515625" style="11" bestFit="1" customWidth="1"/>
    <col min="4" max="16384" width="9.140625" style="2"/>
  </cols>
  <sheetData>
    <row r="1" spans="1:3" x14ac:dyDescent="0.25">
      <c r="A1" s="1">
        <v>46204</v>
      </c>
      <c r="B1" s="2" t="s">
        <v>22</v>
      </c>
      <c r="C1" s="11">
        <v>1450</v>
      </c>
    </row>
    <row r="2" spans="1:3" x14ac:dyDescent="0.25">
      <c r="A2" s="1"/>
    </row>
    <row r="3" spans="1:3" x14ac:dyDescent="0.25">
      <c r="A3" s="1"/>
    </row>
    <row r="4" spans="1:3" x14ac:dyDescent="0.25">
      <c r="A4" s="1"/>
    </row>
    <row r="5" spans="1:3" x14ac:dyDescent="0.25">
      <c r="A5" s="1"/>
    </row>
    <row r="6" spans="1:3" x14ac:dyDescent="0.25">
      <c r="A6" s="1"/>
    </row>
    <row r="7" spans="1:3" x14ac:dyDescent="0.25">
      <c r="A7" s="1"/>
    </row>
    <row r="8" spans="1:3" x14ac:dyDescent="0.25">
      <c r="A8" s="1"/>
    </row>
    <row r="9" spans="1:3" x14ac:dyDescent="0.25">
      <c r="A9" s="1" t="s">
        <v>4</v>
      </c>
      <c r="C9" s="11">
        <f>SUM(C1:C8)</f>
        <v>1450</v>
      </c>
    </row>
    <row r="10" spans="1:3" x14ac:dyDescent="0.25">
      <c r="A10" s="1"/>
      <c r="B10" s="10"/>
    </row>
  </sheetData>
  <sortState xmlns:xlrd2="http://schemas.microsoft.com/office/spreadsheetml/2017/richdata2" ref="A1:C7">
    <sortCondition ref="A1:A7"/>
  </sortState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AFAB-4E51-4939-ADD3-091E35715A81}">
  <dimension ref="A1:C3"/>
  <sheetViews>
    <sheetView zoomScale="145" zoomScaleNormal="145" workbookViewId="0">
      <selection activeCell="H14" sqref="H14"/>
    </sheetView>
  </sheetViews>
  <sheetFormatPr defaultRowHeight="15" x14ac:dyDescent="0.25"/>
  <cols>
    <col min="1" max="1" width="11" style="2" bestFit="1" customWidth="1"/>
    <col min="2" max="2" width="57" style="2" bestFit="1" customWidth="1"/>
    <col min="3" max="3" width="13.28515625" style="20" bestFit="1" customWidth="1"/>
    <col min="4" max="16384" width="9.140625" style="2"/>
  </cols>
  <sheetData>
    <row r="1" spans="1:3" x14ac:dyDescent="0.25">
      <c r="A1" s="1"/>
      <c r="B1" s="4"/>
      <c r="C1" s="9"/>
    </row>
    <row r="2" spans="1:3" x14ac:dyDescent="0.25">
      <c r="A2" s="1"/>
      <c r="C2" s="18"/>
    </row>
    <row r="3" spans="1:3" x14ac:dyDescent="0.25">
      <c r="A3" s="19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5BF32-4B4A-4199-9B3E-BEB61DFC6D9B}">
  <dimension ref="A1"/>
  <sheetViews>
    <sheetView zoomScale="145" zoomScaleNormal="145" workbookViewId="0">
      <selection activeCell="B4" sqref="B4:B12"/>
    </sheetView>
  </sheetViews>
  <sheetFormatPr defaultRowHeight="15" x14ac:dyDescent="0.25"/>
  <cols>
    <col min="1" max="1" width="11.140625" style="2" bestFit="1" customWidth="1"/>
    <col min="2" max="2" width="48.7109375" style="2" customWidth="1"/>
    <col min="3" max="16384" width="9.140625" style="2"/>
  </cols>
  <sheetData/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93E2C-8F43-4B7F-A59E-56954270118D}">
  <dimension ref="A1:F7"/>
  <sheetViews>
    <sheetView tabSelected="1" zoomScale="130" zoomScaleNormal="130" workbookViewId="0">
      <selection activeCell="J14" sqref="J13:J14"/>
    </sheetView>
  </sheetViews>
  <sheetFormatPr defaultRowHeight="15" x14ac:dyDescent="0.25"/>
  <cols>
    <col min="1" max="1" width="18.140625" style="2" bestFit="1" customWidth="1"/>
    <col min="2" max="2" width="9.140625" style="2"/>
    <col min="3" max="4" width="15" style="2" bestFit="1" customWidth="1"/>
    <col min="5" max="5" width="11.85546875" style="2" customWidth="1"/>
    <col min="6" max="6" width="15" style="2" bestFit="1" customWidth="1"/>
    <col min="7" max="16384" width="9.140625" style="2"/>
  </cols>
  <sheetData>
    <row r="1" spans="1:6" x14ac:dyDescent="0.25">
      <c r="A1" s="2" t="s">
        <v>6</v>
      </c>
      <c r="D1" s="9">
        <f>'Custos - Despesas'!C147</f>
        <v>11</v>
      </c>
    </row>
    <row r="2" spans="1:6" x14ac:dyDescent="0.25">
      <c r="A2" s="2" t="s">
        <v>5</v>
      </c>
      <c r="D2" s="9">
        <f>Rateios!C16</f>
        <v>513.44000000000005</v>
      </c>
    </row>
    <row r="3" spans="1:6" x14ac:dyDescent="0.25">
      <c r="A3" s="2" t="s">
        <v>7</v>
      </c>
      <c r="D3" s="9">
        <f>'Despesas Diversas'!C20</f>
        <v>3000</v>
      </c>
    </row>
    <row r="4" spans="1:6" x14ac:dyDescent="0.25">
      <c r="A4" s="2" t="s">
        <v>10</v>
      </c>
      <c r="C4" s="9">
        <f>Recebimentos!C81</f>
        <v>1039.58</v>
      </c>
    </row>
    <row r="5" spans="1:6" x14ac:dyDescent="0.25">
      <c r="A5" s="2" t="s">
        <v>8</v>
      </c>
      <c r="D5" s="9">
        <f>Kits!C25</f>
        <v>7296.02</v>
      </c>
    </row>
    <row r="6" spans="1:6" x14ac:dyDescent="0.25">
      <c r="A6" s="2" t="s">
        <v>9</v>
      </c>
      <c r="C6" s="9">
        <f>'Boletos Recebidos'!C79</f>
        <v>0</v>
      </c>
    </row>
    <row r="7" spans="1:6" x14ac:dyDescent="0.25">
      <c r="A7" s="2" t="s">
        <v>4</v>
      </c>
      <c r="C7" s="9">
        <f>SUM(C1:C6)</f>
        <v>1039.58</v>
      </c>
      <c r="D7" s="9">
        <f>SUM(D1:D6)</f>
        <v>10820.460000000001</v>
      </c>
      <c r="E7" s="2" t="s">
        <v>11</v>
      </c>
      <c r="F7" s="9">
        <f>C7-D7</f>
        <v>-9780.880000000001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Custos - Despesas</vt:lpstr>
      <vt:lpstr>Rateios</vt:lpstr>
      <vt:lpstr>Despesas Diversas</vt:lpstr>
      <vt:lpstr>Recebimentos</vt:lpstr>
      <vt:lpstr>Kits</vt:lpstr>
      <vt:lpstr>Boletos Recebidos</vt:lpstr>
      <vt:lpstr>Notas Fiscais - Saida</vt:lpstr>
      <vt:lpstr>Notas Fiscais - Direta</vt:lpstr>
      <vt:lpstr>Notas Fiscais - Entrada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Term-02</cp:lastModifiedBy>
  <cp:lastPrinted>2025-12-14T20:30:50Z</cp:lastPrinted>
  <dcterms:created xsi:type="dcterms:W3CDTF">2025-07-03T12:05:14Z</dcterms:created>
  <dcterms:modified xsi:type="dcterms:W3CDTF">2026-08-22T14:24:25Z</dcterms:modified>
</cp:coreProperties>
</file>