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SRVLINK\wr_solare\Gestão\Custos e Despesas\"/>
    </mc:Choice>
  </mc:AlternateContent>
  <xr:revisionPtr revIDLastSave="0" documentId="13_ncr:1_{FCB70090-FCFD-42CA-8889-FCE3EDA5246F}" xr6:coauthVersionLast="47" xr6:coauthVersionMax="47" xr10:uidLastSave="{00000000-0000-0000-0000-000000000000}"/>
  <bookViews>
    <workbookView xWindow="-120" yWindow="-120" windowWidth="29040" windowHeight="15720" tabRatio="859" activeTab="1" xr2:uid="{E07154E2-6CBC-44FF-BE6F-6DC3F026024B}"/>
  </bookViews>
  <sheets>
    <sheet name="A receber" sheetId="6" r:id="rId1"/>
    <sheet name="Boletos Emitidos" sheetId="7" r:id="rId2"/>
  </sheets>
  <definedNames>
    <definedName name="_xlnm._FilterDatabase" localSheetId="0" hidden="1">'A receber'!$A$1:$A$1</definedName>
    <definedName name="_xlnm._FilterDatabase" localSheetId="1" hidden="1">'Boletos Emitidos'!$A$1:$BX$3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18" i="6"/>
  <c r="C18" i="6" l="1"/>
  <c r="C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</author>
  </authors>
  <commentList>
    <comment ref="AD2" authorId="0" shapeId="0" xr:uid="{E81BAAD4-922B-4220-8742-AD17A7223D34}">
      <text>
        <r>
          <rPr>
            <b/>
            <sz val="9"/>
            <color indexed="81"/>
            <rFont val="Segoe UI"/>
            <family val="2"/>
          </rPr>
          <t>Rodrigo:</t>
        </r>
        <r>
          <rPr>
            <sz val="9"/>
            <color indexed="81"/>
            <rFont val="Segoe UI"/>
            <family val="2"/>
          </rPr>
          <t xml:space="preserve">
Recebimento - Valdiran 587,30 - Pix - Março - 31-05-2025</t>
        </r>
      </text>
    </comment>
    <comment ref="AE2" authorId="0" shapeId="0" xr:uid="{DCEA747F-18D4-4C7D-805E-DC7B56913000}">
      <text>
        <r>
          <rPr>
            <b/>
            <sz val="9"/>
            <color indexed="81"/>
            <rFont val="Segoe UI"/>
            <family val="2"/>
          </rPr>
          <t>Rodrigo:</t>
        </r>
        <r>
          <rPr>
            <sz val="9"/>
            <color indexed="81"/>
            <rFont val="Segoe UI"/>
            <family val="2"/>
          </rPr>
          <t xml:space="preserve">
Recebimento - Valdiran 457,40 + 54,35 = 511,75 - abril - 03-05-2025</t>
        </r>
      </text>
    </comment>
    <comment ref="AF2" authorId="0" shapeId="0" xr:uid="{9D4443B9-E1B7-44EC-9B4A-663A28C95EB6}">
      <text>
        <r>
          <rPr>
            <b/>
            <sz val="9"/>
            <color indexed="81"/>
            <rFont val="Segoe UI"/>
            <family val="2"/>
          </rPr>
          <t>Rodrigo:</t>
        </r>
        <r>
          <rPr>
            <sz val="9"/>
            <color indexed="81"/>
            <rFont val="Segoe UI"/>
            <family val="2"/>
          </rPr>
          <t xml:space="preserve">
Boleto recebido - Valdiran dos Santos - BAIXAR BOLETO - MAIO 596,36  - 17-09-2025</t>
        </r>
      </text>
    </comment>
    <comment ref="AG2" authorId="0" shapeId="0" xr:uid="{54FCCF44-1E1E-4836-B5E5-708BCD1565E1}">
      <text>
        <r>
          <rPr>
            <b/>
            <sz val="9"/>
            <color indexed="81"/>
            <rFont val="Segoe UI"/>
            <family val="2"/>
          </rPr>
          <t>Boleto recebido - Valdiran dos Santos  - ACORDO - 608,85 - JUNHO - 06-11-2025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H2" authorId="0" shapeId="0" xr:uid="{345671D8-486B-4C43-B349-CBF21518D56F}">
      <text>
        <r>
          <rPr>
            <b/>
            <sz val="9"/>
            <color indexed="81"/>
            <rFont val="Segoe UI"/>
            <family val="2"/>
          </rPr>
          <t>Boleto recebido - Rafael - Valdiran 623,25 - JULHO - 17-12-2025</t>
        </r>
      </text>
    </comment>
    <comment ref="AI2" authorId="0" shapeId="0" xr:uid="{6A3E5047-C678-4669-B6BB-56A5BB21606D}">
      <text>
        <r>
          <rPr>
            <b/>
            <sz val="9"/>
            <color indexed="81"/>
            <rFont val="Segoe UI"/>
            <family val="2"/>
          </rPr>
          <t>Boleto recebido - Valdiran - RAFAEL 618,45 - AGOSTO 2025 - 20-01-2026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2" authorId="0" shapeId="0" xr:uid="{21A95DEF-C1D2-484B-B40F-4AEF74641397}">
      <text>
        <r>
          <rPr>
            <b/>
            <sz val="9"/>
            <color indexed="81"/>
            <rFont val="Segoe UI"/>
            <family val="2"/>
          </rPr>
          <t>Boleto recebido - Valdiran - BAIXAR BOLETO SETEMBRO - Rafael 629,02 - 25-02-2026</t>
        </r>
      </text>
    </comment>
    <comment ref="AK2" authorId="0" shapeId="0" xr:uid="{84F081A2-A726-435B-84FF-3DF594F80E61}">
      <text>
        <r>
          <rPr>
            <b/>
            <sz val="9"/>
            <color indexed="81"/>
            <rFont val="Segoe UI"/>
            <family val="2"/>
          </rPr>
          <t>Boleto recebido - Valdiran 708,60 - baixar outubro - 31-03-2026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L2" authorId="0" shapeId="0" xr:uid="{7D6E899A-B766-47D2-92B6-621F297A3796}">
      <text>
        <r>
          <rPr>
            <b/>
            <sz val="9"/>
            <color indexed="81"/>
            <rFont val="Segoe UI"/>
            <family val="2"/>
          </rPr>
          <t>Boleto recebido - Valdiran - 717,66 - baixar novembro 2025 - 04-05-2026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M2" authorId="0" shapeId="0" xr:uid="{141F4753-CDCF-4D7D-8270-09F463EC3B3F}">
      <text>
        <r>
          <rPr>
            <b/>
            <sz val="9"/>
            <color indexed="81"/>
            <rFont val="Segoe UI"/>
            <family val="2"/>
          </rPr>
          <t>Boleto recebido - Valdiran - DEZEMBRO - 714,92 - 02-06-2026 - RAFAEL</t>
        </r>
      </text>
    </comment>
    <comment ref="AN2" authorId="0" shapeId="0" xr:uid="{C1784168-65CC-4164-B9B3-683689B999F6}">
      <text>
        <r>
          <rPr>
            <b/>
            <sz val="9"/>
            <color indexed="81"/>
            <rFont val="Segoe UI"/>
            <family val="2"/>
          </rPr>
          <t>Boleto recebido - Valdiran - Baixar janeiro 2026 - 705,31 - 27-06-2026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3" authorId="0" shapeId="0" xr:uid="{44E7CE5D-47EC-48FF-A4A7-FFCFD9BC1F8F}">
      <text>
        <r>
          <rPr>
            <b/>
            <sz val="9"/>
            <color indexed="81"/>
            <rFont val="Segoe UI"/>
            <family val="2"/>
          </rPr>
          <t>Boleto recebido - Elisson - BAIXAR BOLETO  2.271,25 - 21-10-2025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<sst xmlns="http://schemas.openxmlformats.org/spreadsheetml/2006/main" count="34" uniqueCount="32">
  <si>
    <t>TOTAL</t>
  </si>
  <si>
    <t>A RECEBER</t>
  </si>
  <si>
    <t>FLUXO DE CAIXA</t>
  </si>
  <si>
    <t>RODRIGO</t>
  </si>
  <si>
    <t>FINANCIAMENTO</t>
  </si>
  <si>
    <t>WR SOLARE</t>
  </si>
  <si>
    <t>089.477.764-59</t>
  </si>
  <si>
    <t>RAFAEL</t>
  </si>
  <si>
    <t>DIA</t>
  </si>
  <si>
    <t>NOME DO PAGADOR</t>
  </si>
  <si>
    <t>CPF/CNPJ</t>
  </si>
  <si>
    <t>BANCO</t>
  </si>
  <si>
    <t>C6</t>
  </si>
  <si>
    <t>BRASIL / C6</t>
  </si>
  <si>
    <t>VALOR DAS PARCELAS</t>
  </si>
  <si>
    <t>PARCELAS</t>
  </si>
  <si>
    <t>1º PAGAMENTO</t>
  </si>
  <si>
    <t>166.212.578-05</t>
  </si>
  <si>
    <t>TELEFONE</t>
  </si>
  <si>
    <t>VALDIRAN DOS SANTOS - RODRIGO - RAFAEL = KIT MARLI - 19-30 PARCELAS - RAFAEL</t>
  </si>
  <si>
    <r>
      <t>ÉLISSON HENRIQUE SALES</t>
    </r>
    <r>
      <rPr>
        <b/>
        <sz val="11"/>
        <color rgb="FFFFFF00"/>
        <rFont val="Calibri"/>
        <family val="2"/>
        <scheme val="minor"/>
      </rPr>
      <t xml:space="preserve"> - USINA 1 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FFFF00"/>
        <rFont val="Calibri"/>
        <family val="2"/>
        <scheme val="minor"/>
      </rPr>
      <t xml:space="preserve">3 PARCELAS NO PIX </t>
    </r>
    <r>
      <rPr>
        <b/>
        <sz val="11"/>
        <color theme="1"/>
        <rFont val="Calibri"/>
        <family val="2"/>
        <scheme val="minor"/>
      </rPr>
      <t>/ 22-30 PARCELAS  - WR SOLARE</t>
    </r>
  </si>
  <si>
    <t>ITAÚ</t>
  </si>
  <si>
    <t>VALDENIO DE PAULA FREITAS</t>
  </si>
  <si>
    <t>JOSÉ APARECIDO DOS SANTOS - ROSA</t>
  </si>
  <si>
    <t>EMILLY NATANIA DOS SANTOS SILVA</t>
  </si>
  <si>
    <t>RICARDO PEREIRA - 1-6 PARCELAS - RODRIGO</t>
  </si>
  <si>
    <t>82 99676-2809</t>
  </si>
  <si>
    <t>041.325.964-19</t>
  </si>
  <si>
    <t>82 99694-8686</t>
  </si>
  <si>
    <t>102.984.074-18</t>
  </si>
  <si>
    <t>DOUGLAS MATTHEUS DE LIMA NUNES FEITOSA -  WR SOLARE</t>
  </si>
  <si>
    <t>wR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</si>
</sst>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44" fontId="2" fillId="2" borderId="0" xfId="1" applyFont="1" applyFill="1"/>
    <xf numFmtId="0" fontId="2" fillId="2" borderId="1" xfId="0" applyFont="1" applyFill="1" applyBorder="1"/>
    <xf numFmtId="0" fontId="2" fillId="0" borderId="0" xfId="0" applyFont="1"/>
    <xf numFmtId="44" fontId="2" fillId="0" borderId="0" xfId="1" applyFont="1"/>
    <xf numFmtId="14" fontId="2" fillId="0" borderId="0" xfId="0" applyNumberFormat="1" applyFont="1"/>
    <xf numFmtId="14" fontId="2" fillId="0" borderId="0" xfId="1" applyNumberFormat="1" applyFont="1"/>
    <xf numFmtId="44" fontId="2" fillId="2" borderId="0" xfId="0" applyNumberFormat="1" applyFont="1" applyFill="1"/>
    <xf numFmtId="14" fontId="2" fillId="2" borderId="1" xfId="1" applyNumberFormat="1" applyFont="1" applyFill="1" applyBorder="1"/>
    <xf numFmtId="0" fontId="2" fillId="7" borderId="1" xfId="0" applyFont="1" applyFill="1" applyBorder="1"/>
    <xf numFmtId="0" fontId="5" fillId="8" borderId="1" xfId="0" applyFont="1" applyFill="1" applyBorder="1"/>
    <xf numFmtId="14" fontId="5" fillId="8" borderId="1" xfId="1" applyNumberFormat="1" applyFont="1" applyFill="1" applyBorder="1"/>
    <xf numFmtId="44" fontId="5" fillId="8" borderId="1" xfId="1" applyFont="1" applyFill="1" applyBorder="1"/>
    <xf numFmtId="44" fontId="3" fillId="7" borderId="1" xfId="1" applyFont="1" applyFill="1" applyBorder="1"/>
    <xf numFmtId="44" fontId="3" fillId="2" borderId="1" xfId="1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4" fontId="7" fillId="0" borderId="0" xfId="1" applyFont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44" fontId="4" fillId="4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2" fillId="6" borderId="1" xfId="0" applyFont="1" applyFill="1" applyBorder="1"/>
    <xf numFmtId="44" fontId="5" fillId="9" borderId="1" xfId="1" applyFont="1" applyFill="1" applyBorder="1"/>
    <xf numFmtId="44" fontId="5" fillId="5" borderId="1" xfId="1" applyFont="1" applyFill="1" applyBorder="1"/>
    <xf numFmtId="44" fontId="5" fillId="9" borderId="1" xfId="1" applyFont="1" applyFill="1" applyBorder="1" applyAlignment="1">
      <alignment vertical="center"/>
    </xf>
    <xf numFmtId="44" fontId="5" fillId="10" borderId="1" xfId="1" applyFont="1" applyFill="1" applyBorder="1" applyAlignment="1">
      <alignment vertical="center"/>
    </xf>
    <xf numFmtId="44" fontId="5" fillId="10" borderId="1" xfId="1" applyFont="1" applyFill="1" applyBorder="1"/>
    <xf numFmtId="0" fontId="3" fillId="6" borderId="0" xfId="0" applyFont="1" applyFill="1"/>
    <xf numFmtId="0" fontId="2" fillId="11" borderId="1" xfId="0" applyFont="1" applyFill="1" applyBorder="1"/>
    <xf numFmtId="0" fontId="2" fillId="11" borderId="0" xfId="0" applyFont="1" applyFill="1"/>
    <xf numFmtId="44" fontId="3" fillId="3" borderId="1" xfId="1" applyFont="1" applyFill="1" applyBorder="1"/>
    <xf numFmtId="0" fontId="7" fillId="0" borderId="1" xfId="0" applyFont="1" applyBorder="1"/>
    <xf numFmtId="44" fontId="7" fillId="0" borderId="1" xfId="1" applyFont="1" applyBorder="1"/>
    <xf numFmtId="14" fontId="7" fillId="0" borderId="1" xfId="0" applyNumberFormat="1" applyFont="1" applyBorder="1"/>
    <xf numFmtId="44" fontId="5" fillId="12" borderId="1" xfId="1" applyFont="1" applyFill="1" applyBorder="1"/>
    <xf numFmtId="0" fontId="7" fillId="2" borderId="1" xfId="0" applyFont="1" applyFill="1" applyBorder="1"/>
    <xf numFmtId="0" fontId="2" fillId="0" borderId="0" xfId="0" applyFont="1"/>
    <xf numFmtId="0" fontId="2" fillId="11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7" fillId="0" borderId="2" xfId="0" applyFont="1" applyBorder="1"/>
    <xf numFmtId="44" fontId="7" fillId="0" borderId="2" xfId="1" applyFont="1" applyBorder="1"/>
    <xf numFmtId="0" fontId="5" fillId="8" borderId="0" xfId="0" applyFont="1" applyFill="1" applyBorder="1"/>
    <xf numFmtId="44" fontId="5" fillId="8" borderId="0" xfId="1" applyFont="1" applyFill="1" applyBorder="1"/>
  </cellXfs>
  <cellStyles count="3">
    <cellStyle name="Moeda" xfId="1" builtinId="4"/>
    <cellStyle name="Moeda 2" xfId="2" xr:uid="{2030331C-7DCF-417F-9F53-212289EEFC5A}"/>
    <cellStyle name="Normal" xfId="0" builtinId="0"/>
  </cellStyles>
  <dxfs count="0"/>
  <tableStyles count="0" defaultTableStyle="TableStyleMedium2" defaultPivotStyle="PivotStyleLight16"/>
  <colors>
    <mruColors>
      <color rgb="FF99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CE84-C15B-4BA5-A952-75DC0E7DA26F}">
  <sheetPr codeName="Planilha6"/>
  <dimension ref="A1:D24"/>
  <sheetViews>
    <sheetView zoomScale="115" zoomScaleNormal="115" workbookViewId="0">
      <pane xSplit="1" topLeftCell="B1" activePane="topRight" state="frozen"/>
      <selection pane="topRight" activeCell="H20" sqref="H20"/>
    </sheetView>
  </sheetViews>
  <sheetFormatPr defaultColWidth="8.85546875" defaultRowHeight="15" x14ac:dyDescent="0.25"/>
  <cols>
    <col min="1" max="1" width="61.5703125" style="1" customWidth="1"/>
    <col min="2" max="4" width="15.42578125" style="1" bestFit="1" customWidth="1"/>
    <col min="5" max="16384" width="8.85546875" style="1"/>
  </cols>
  <sheetData>
    <row r="1" spans="1:3" x14ac:dyDescent="0.25">
      <c r="A1" s="11" t="s">
        <v>1</v>
      </c>
      <c r="B1" s="12">
        <v>46142</v>
      </c>
      <c r="C1" s="12">
        <v>46173</v>
      </c>
    </row>
    <row r="2" spans="1:3" x14ac:dyDescent="0.25">
      <c r="A2" s="10" t="s">
        <v>22</v>
      </c>
      <c r="B2" s="14">
        <v>11157.73</v>
      </c>
      <c r="C2" s="14">
        <v>11157.73</v>
      </c>
    </row>
    <row r="3" spans="1:3" x14ac:dyDescent="0.25">
      <c r="A3" s="3" t="s">
        <v>23</v>
      </c>
      <c r="B3" s="15"/>
      <c r="C3" s="36">
        <v>2500</v>
      </c>
    </row>
    <row r="4" spans="1:3" x14ac:dyDescent="0.25">
      <c r="A4" s="10" t="s">
        <v>24</v>
      </c>
      <c r="B4" s="14"/>
      <c r="C4" s="36">
        <v>4158.4799999999996</v>
      </c>
    </row>
    <row r="5" spans="1:3" x14ac:dyDescent="0.25">
      <c r="A5" s="3"/>
      <c r="B5" s="15"/>
      <c r="C5" s="15"/>
    </row>
    <row r="6" spans="1:3" x14ac:dyDescent="0.25">
      <c r="A6" s="10"/>
      <c r="B6" s="14"/>
      <c r="C6" s="14"/>
    </row>
    <row r="7" spans="1:3" x14ac:dyDescent="0.25">
      <c r="A7" s="3"/>
      <c r="B7" s="15"/>
      <c r="C7" s="15"/>
    </row>
    <row r="8" spans="1:3" x14ac:dyDescent="0.25">
      <c r="A8" s="10"/>
      <c r="B8" s="14"/>
      <c r="C8" s="14"/>
    </row>
    <row r="9" spans="1:3" x14ac:dyDescent="0.25">
      <c r="A9" s="3"/>
      <c r="B9" s="15"/>
      <c r="C9" s="15"/>
    </row>
    <row r="10" spans="1:3" x14ac:dyDescent="0.25">
      <c r="A10" s="10"/>
      <c r="B10" s="14"/>
      <c r="C10" s="14"/>
    </row>
    <row r="11" spans="1:3" x14ac:dyDescent="0.25">
      <c r="A11" s="3"/>
      <c r="B11" s="15"/>
      <c r="C11" s="15"/>
    </row>
    <row r="12" spans="1:3" x14ac:dyDescent="0.25">
      <c r="A12" s="10"/>
      <c r="B12" s="14"/>
      <c r="C12" s="14"/>
    </row>
    <row r="13" spans="1:3" x14ac:dyDescent="0.25">
      <c r="A13" s="3"/>
      <c r="B13" s="15"/>
      <c r="C13" s="15"/>
    </row>
    <row r="14" spans="1:3" x14ac:dyDescent="0.25">
      <c r="A14" s="10"/>
      <c r="B14" s="14"/>
      <c r="C14" s="14"/>
    </row>
    <row r="15" spans="1:3" x14ac:dyDescent="0.25">
      <c r="A15" s="3"/>
      <c r="B15" s="15"/>
      <c r="C15" s="15"/>
    </row>
    <row r="16" spans="1:3" x14ac:dyDescent="0.25">
      <c r="A16" s="10"/>
      <c r="B16" s="14"/>
      <c r="C16" s="14"/>
    </row>
    <row r="17" spans="1:4" x14ac:dyDescent="0.25">
      <c r="A17" s="11" t="s">
        <v>0</v>
      </c>
      <c r="B17" s="13">
        <f>SUM(B2:B16)</f>
        <v>11157.73</v>
      </c>
      <c r="C17" s="13">
        <f>SUM(C2:C16)</f>
        <v>17816.21</v>
      </c>
    </row>
    <row r="18" spans="1:4" x14ac:dyDescent="0.25">
      <c r="A18" s="3" t="s">
        <v>1</v>
      </c>
      <c r="B18" s="9">
        <f t="shared" ref="B18:C18" si="0">B1</f>
        <v>46142</v>
      </c>
      <c r="C18" s="9">
        <f t="shared" si="0"/>
        <v>46173</v>
      </c>
    </row>
    <row r="20" spans="1:4" x14ac:dyDescent="0.25">
      <c r="A20" s="51" t="s">
        <v>2</v>
      </c>
      <c r="B20" s="52">
        <v>0</v>
      </c>
      <c r="C20" s="52">
        <v>0</v>
      </c>
      <c r="D20" s="2"/>
    </row>
    <row r="24" spans="1:4" x14ac:dyDescent="0.25">
      <c r="B24" s="8"/>
      <c r="C24" s="8"/>
    </row>
  </sheetData>
  <autoFilter ref="A1" xr:uid="{83D5CE84-C15B-4BA5-A952-75DC0E7DA26F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08CF-E8CC-49EB-B32C-48205D37B18B}">
  <sheetPr codeName="Planilha8"/>
  <dimension ref="A1:BX15"/>
  <sheetViews>
    <sheetView tabSelected="1" zoomScale="115" zoomScaleNormal="115" workbookViewId="0">
      <pane xSplit="4" ySplit="2" topLeftCell="AX3" activePane="bottomRight" state="frozen"/>
      <selection pane="topRight" activeCell="E1" sqref="E1"/>
      <selection pane="bottomLeft" activeCell="A17" sqref="A17"/>
      <selection pane="bottomRight" activeCell="AY12" sqref="AY12"/>
    </sheetView>
  </sheetViews>
  <sheetFormatPr defaultColWidth="8.85546875" defaultRowHeight="15.75" x14ac:dyDescent="0.25"/>
  <cols>
    <col min="1" max="1" width="9" style="26" bestFit="1" customWidth="1"/>
    <col min="2" max="2" width="87.42578125" style="26" customWidth="1"/>
    <col min="3" max="3" width="17.85546875" style="46" customWidth="1"/>
    <col min="4" max="4" width="14.7109375" style="46" bestFit="1" customWidth="1"/>
    <col min="5" max="5" width="20.5703125" style="18" customWidth="1"/>
    <col min="6" max="6" width="19.28515625" style="17" customWidth="1"/>
    <col min="7" max="7" width="21.140625" style="46" bestFit="1" customWidth="1"/>
    <col min="8" max="8" width="15" style="17" bestFit="1" customWidth="1"/>
    <col min="9" max="9" width="19.140625" style="17" bestFit="1" customWidth="1"/>
    <col min="10" max="10" width="13" style="17" bestFit="1" customWidth="1"/>
    <col min="11" max="13" width="13.140625" style="17" bestFit="1" customWidth="1"/>
    <col min="14" max="23" width="13.28515625" style="17" bestFit="1" customWidth="1"/>
    <col min="24" max="24" width="13.42578125" style="17" bestFit="1" customWidth="1"/>
    <col min="25" max="25" width="14.42578125" style="17" bestFit="1" customWidth="1"/>
    <col min="26" max="27" width="13.5703125" style="17" bestFit="1" customWidth="1"/>
    <col min="28" max="31" width="13.28515625" style="17" bestFit="1" customWidth="1"/>
    <col min="32" max="33" width="13.140625" style="17" bestFit="1" customWidth="1"/>
    <col min="34" max="34" width="13.5703125" style="17" bestFit="1" customWidth="1"/>
    <col min="35" max="36" width="13.140625" style="17" bestFit="1" customWidth="1"/>
    <col min="37" max="40" width="13.5703125" style="17" bestFit="1" customWidth="1"/>
    <col min="41" max="41" width="14.140625" style="18" bestFit="1" customWidth="1"/>
    <col min="42" max="42" width="13.5703125" style="17" bestFit="1" customWidth="1"/>
    <col min="43" max="44" width="13.7109375" style="17" bestFit="1" customWidth="1"/>
    <col min="45" max="48" width="13.5703125" style="17" bestFit="1" customWidth="1"/>
    <col min="49" max="51" width="13.140625" style="17" bestFit="1" customWidth="1"/>
    <col min="52" max="56" width="13.5703125" style="17" bestFit="1" customWidth="1"/>
    <col min="57" max="76" width="13.28515625" style="17" bestFit="1" customWidth="1"/>
    <col min="77" max="16384" width="8.85546875" style="17"/>
  </cols>
  <sheetData>
    <row r="1" spans="1:76" s="16" customFormat="1" x14ac:dyDescent="0.25">
      <c r="A1" s="25" t="s">
        <v>8</v>
      </c>
      <c r="B1" s="25" t="s">
        <v>9</v>
      </c>
      <c r="C1" s="21" t="s">
        <v>11</v>
      </c>
      <c r="D1" s="21" t="s">
        <v>15</v>
      </c>
      <c r="E1" s="22" t="s">
        <v>14</v>
      </c>
      <c r="F1" s="21" t="s">
        <v>16</v>
      </c>
      <c r="G1" s="21" t="s">
        <v>4</v>
      </c>
      <c r="H1" s="21" t="s">
        <v>18</v>
      </c>
      <c r="I1" s="21" t="s">
        <v>10</v>
      </c>
      <c r="J1" s="23">
        <v>45108</v>
      </c>
      <c r="K1" s="23">
        <v>45139</v>
      </c>
      <c r="L1" s="23">
        <v>45170</v>
      </c>
      <c r="M1" s="23">
        <v>45200</v>
      </c>
      <c r="N1" s="23">
        <v>45231</v>
      </c>
      <c r="O1" s="23">
        <v>45261</v>
      </c>
      <c r="P1" s="23">
        <v>45292</v>
      </c>
      <c r="Q1" s="23">
        <v>45323</v>
      </c>
      <c r="R1" s="23">
        <v>45352</v>
      </c>
      <c r="S1" s="23">
        <v>45383</v>
      </c>
      <c r="T1" s="23">
        <v>45413</v>
      </c>
      <c r="U1" s="23">
        <v>45444</v>
      </c>
      <c r="V1" s="23">
        <v>45474</v>
      </c>
      <c r="W1" s="23">
        <v>45505</v>
      </c>
      <c r="X1" s="23">
        <v>45536</v>
      </c>
      <c r="Y1" s="23">
        <v>45566</v>
      </c>
      <c r="Z1" s="23">
        <v>45597</v>
      </c>
      <c r="AA1" s="23">
        <v>45627</v>
      </c>
      <c r="AB1" s="23">
        <v>45658</v>
      </c>
      <c r="AC1" s="23">
        <v>45689</v>
      </c>
      <c r="AD1" s="23">
        <v>45717</v>
      </c>
      <c r="AE1" s="23">
        <v>45748</v>
      </c>
      <c r="AF1" s="23">
        <v>45778</v>
      </c>
      <c r="AG1" s="23">
        <v>45809</v>
      </c>
      <c r="AH1" s="23">
        <v>45839</v>
      </c>
      <c r="AI1" s="23">
        <v>45870</v>
      </c>
      <c r="AJ1" s="23">
        <v>45901</v>
      </c>
      <c r="AK1" s="23">
        <v>45931</v>
      </c>
      <c r="AL1" s="23">
        <v>45962</v>
      </c>
      <c r="AM1" s="23">
        <v>45992</v>
      </c>
      <c r="AN1" s="23">
        <v>46023</v>
      </c>
      <c r="AO1" s="23">
        <v>46054</v>
      </c>
      <c r="AP1" s="23">
        <v>46082</v>
      </c>
      <c r="AQ1" s="23">
        <v>46113</v>
      </c>
      <c r="AR1" s="23">
        <v>46143</v>
      </c>
      <c r="AS1" s="23">
        <v>46174</v>
      </c>
      <c r="AT1" s="23">
        <v>46204</v>
      </c>
      <c r="AU1" s="23">
        <v>46235</v>
      </c>
      <c r="AV1" s="23">
        <v>46266</v>
      </c>
      <c r="AW1" s="23">
        <v>46296</v>
      </c>
      <c r="AX1" s="23">
        <v>46327</v>
      </c>
      <c r="AY1" s="23">
        <v>46357</v>
      </c>
      <c r="AZ1" s="23">
        <v>46388</v>
      </c>
      <c r="BA1" s="23">
        <v>46419</v>
      </c>
      <c r="BB1" s="23">
        <v>46447</v>
      </c>
      <c r="BC1" s="23">
        <v>46478</v>
      </c>
      <c r="BD1" s="23">
        <v>46508</v>
      </c>
      <c r="BE1" s="23">
        <v>46539</v>
      </c>
      <c r="BF1" s="23">
        <v>46569</v>
      </c>
      <c r="BG1" s="23">
        <v>46600</v>
      </c>
      <c r="BH1" s="23">
        <v>46631</v>
      </c>
      <c r="BI1" s="23">
        <v>46661</v>
      </c>
      <c r="BJ1" s="23">
        <v>46692</v>
      </c>
      <c r="BK1" s="23">
        <v>46722</v>
      </c>
      <c r="BL1" s="23">
        <v>46753</v>
      </c>
      <c r="BM1" s="23">
        <v>46784</v>
      </c>
      <c r="BN1" s="23">
        <v>46813</v>
      </c>
      <c r="BO1" s="23">
        <v>46844</v>
      </c>
      <c r="BP1" s="23">
        <v>46874</v>
      </c>
      <c r="BQ1" s="23">
        <v>46905</v>
      </c>
      <c r="BR1" s="23">
        <v>46935</v>
      </c>
      <c r="BS1" s="23">
        <v>46966</v>
      </c>
      <c r="BT1" s="23">
        <v>46997</v>
      </c>
      <c r="BU1" s="23">
        <v>47027</v>
      </c>
      <c r="BV1" s="23">
        <v>47058</v>
      </c>
      <c r="BW1" s="23">
        <v>47088</v>
      </c>
      <c r="BX1" s="23">
        <v>47119</v>
      </c>
    </row>
    <row r="2" spans="1:76" x14ac:dyDescent="0.25">
      <c r="A2" s="27">
        <v>2</v>
      </c>
      <c r="B2" s="27" t="s">
        <v>19</v>
      </c>
      <c r="C2" s="47" t="s">
        <v>12</v>
      </c>
      <c r="D2" s="47">
        <v>48</v>
      </c>
      <c r="E2" s="5">
        <v>457.4</v>
      </c>
      <c r="F2" s="6">
        <v>45628</v>
      </c>
      <c r="G2" s="44" t="s">
        <v>7</v>
      </c>
      <c r="H2" s="33"/>
      <c r="I2" s="4" t="s">
        <v>17</v>
      </c>
      <c r="J2" s="19"/>
      <c r="K2" s="19"/>
      <c r="L2" s="19"/>
      <c r="M2" s="19"/>
      <c r="N2" s="19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8">
        <v>457.4</v>
      </c>
      <c r="AB2" s="28">
        <v>457.4</v>
      </c>
      <c r="AC2" s="30">
        <v>457.4</v>
      </c>
      <c r="AD2" s="30">
        <v>457.4</v>
      </c>
      <c r="AE2" s="28">
        <v>457.4</v>
      </c>
      <c r="AF2" s="28">
        <v>457.4</v>
      </c>
      <c r="AG2" s="28">
        <v>457.4</v>
      </c>
      <c r="AH2" s="28">
        <v>457.4</v>
      </c>
      <c r="AI2" s="28">
        <v>457.4</v>
      </c>
      <c r="AJ2" s="28">
        <v>457.4</v>
      </c>
      <c r="AK2" s="28">
        <v>457.4</v>
      </c>
      <c r="AL2" s="28">
        <v>457.4</v>
      </c>
      <c r="AM2" s="28">
        <v>457.4</v>
      </c>
      <c r="AN2" s="28">
        <v>457.4</v>
      </c>
      <c r="AO2" s="29">
        <v>457.4</v>
      </c>
      <c r="AP2" s="29">
        <v>457.4</v>
      </c>
      <c r="AQ2" s="29">
        <v>457.4</v>
      </c>
      <c r="AR2" s="29">
        <v>457.4</v>
      </c>
      <c r="AS2" s="29">
        <v>457.4</v>
      </c>
      <c r="AT2" s="29">
        <v>457.4</v>
      </c>
      <c r="AU2" s="29">
        <v>457.4</v>
      </c>
      <c r="AV2" s="20">
        <v>457.4</v>
      </c>
      <c r="AW2" s="20">
        <v>457.4</v>
      </c>
      <c r="AX2" s="20">
        <v>457.4</v>
      </c>
      <c r="AY2" s="20">
        <v>457.4</v>
      </c>
      <c r="AZ2" s="20">
        <v>457.4</v>
      </c>
      <c r="BA2" s="20">
        <v>457.4</v>
      </c>
      <c r="BB2" s="20">
        <v>457.4</v>
      </c>
      <c r="BC2" s="20">
        <v>457.4</v>
      </c>
      <c r="BD2" s="20">
        <v>457.4</v>
      </c>
      <c r="BE2" s="20"/>
      <c r="BF2" s="20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</row>
    <row r="3" spans="1:76" s="4" customFormat="1" ht="15" x14ac:dyDescent="0.25">
      <c r="A3" s="34">
        <v>20</v>
      </c>
      <c r="B3" s="34" t="s">
        <v>20</v>
      </c>
      <c r="C3" s="47" t="s">
        <v>13</v>
      </c>
      <c r="D3" s="48">
        <v>72</v>
      </c>
      <c r="E3" s="5">
        <v>2271.25</v>
      </c>
      <c r="F3" s="7">
        <v>45158</v>
      </c>
      <c r="G3" s="43" t="s">
        <v>5</v>
      </c>
      <c r="H3" s="35"/>
      <c r="I3" s="42" t="s">
        <v>6</v>
      </c>
      <c r="J3" s="19"/>
      <c r="K3" s="24">
        <v>2271.25</v>
      </c>
      <c r="L3" s="24">
        <v>2271.25</v>
      </c>
      <c r="M3" s="24">
        <v>2271.25</v>
      </c>
      <c r="N3" s="24">
        <v>2271.25</v>
      </c>
      <c r="O3" s="24">
        <v>2271.25</v>
      </c>
      <c r="P3" s="24">
        <v>2271.25</v>
      </c>
      <c r="Q3" s="24">
        <v>2271.25</v>
      </c>
      <c r="R3" s="24">
        <v>2271.25</v>
      </c>
      <c r="S3" s="24">
        <v>2271.25</v>
      </c>
      <c r="T3" s="24">
        <v>2271.25</v>
      </c>
      <c r="U3" s="31">
        <v>2271.25</v>
      </c>
      <c r="V3" s="31">
        <v>2271.25</v>
      </c>
      <c r="W3" s="31">
        <v>2271.25</v>
      </c>
      <c r="X3" s="31">
        <v>2271.25</v>
      </c>
      <c r="Y3" s="31">
        <v>2271.25</v>
      </c>
      <c r="Z3" s="32">
        <v>2271.25</v>
      </c>
      <c r="AA3" s="32">
        <v>2271.25</v>
      </c>
      <c r="AB3" s="30">
        <v>2271.25</v>
      </c>
      <c r="AC3" s="28">
        <v>2271.25</v>
      </c>
      <c r="AD3" s="29">
        <v>2271.25</v>
      </c>
      <c r="AE3" s="29">
        <v>2271.25</v>
      </c>
      <c r="AF3" s="29">
        <v>2271.25</v>
      </c>
      <c r="AG3" s="29">
        <v>2271.25</v>
      </c>
      <c r="AH3" s="29">
        <v>2271.25</v>
      </c>
      <c r="AI3" s="29">
        <v>2271.25</v>
      </c>
      <c r="AJ3" s="29">
        <v>2271.25</v>
      </c>
      <c r="AK3" s="28">
        <v>2271.25</v>
      </c>
      <c r="AL3" s="40">
        <v>2271.25</v>
      </c>
      <c r="AM3" s="40">
        <v>2271.25</v>
      </c>
      <c r="AN3" s="40">
        <v>2271.25</v>
      </c>
      <c r="AO3" s="20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</row>
    <row r="4" spans="1:76" x14ac:dyDescent="0.25">
      <c r="A4" s="10">
        <v>28</v>
      </c>
      <c r="B4" s="10" t="s">
        <v>25</v>
      </c>
      <c r="C4" s="45" t="s">
        <v>21</v>
      </c>
      <c r="D4" s="45">
        <v>48</v>
      </c>
      <c r="E4" s="38">
        <v>1021.57</v>
      </c>
      <c r="F4" s="39">
        <v>46258</v>
      </c>
      <c r="G4" s="45" t="s">
        <v>3</v>
      </c>
      <c r="H4" s="37" t="s">
        <v>26</v>
      </c>
      <c r="I4" s="37" t="s">
        <v>27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7"/>
      <c r="AT4" s="37"/>
      <c r="AU4" s="38">
        <v>1021.57</v>
      </c>
      <c r="AV4" s="38">
        <v>1021.57</v>
      </c>
      <c r="AW4" s="38">
        <v>1021.57</v>
      </c>
      <c r="AX4" s="38">
        <v>1021.57</v>
      </c>
      <c r="AY4" s="38">
        <v>1021.57</v>
      </c>
      <c r="AZ4" s="38">
        <v>1021.57</v>
      </c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</row>
    <row r="5" spans="1:76" x14ac:dyDescent="0.25">
      <c r="A5" s="34">
        <v>30</v>
      </c>
      <c r="B5" s="34" t="s">
        <v>30</v>
      </c>
      <c r="C5" s="45" t="s">
        <v>21</v>
      </c>
      <c r="D5" s="45">
        <v>4</v>
      </c>
      <c r="E5" s="38">
        <v>2452.5</v>
      </c>
      <c r="F5" s="39">
        <v>46264</v>
      </c>
      <c r="G5" s="45" t="s">
        <v>31</v>
      </c>
      <c r="H5" s="37" t="s">
        <v>28</v>
      </c>
      <c r="I5" s="37" t="s">
        <v>29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7"/>
      <c r="AT5" s="37"/>
      <c r="AU5" s="38">
        <v>2452.5</v>
      </c>
      <c r="AV5" s="38">
        <v>2452.5</v>
      </c>
      <c r="AW5" s="38">
        <v>2452.5</v>
      </c>
      <c r="AX5" s="38">
        <v>2452.5</v>
      </c>
      <c r="AY5" s="38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</row>
    <row r="6" spans="1:76" x14ac:dyDescent="0.25">
      <c r="A6" s="41"/>
      <c r="B6" s="41"/>
      <c r="C6" s="45"/>
      <c r="D6" s="45"/>
      <c r="E6" s="38"/>
      <c r="F6" s="39"/>
      <c r="G6" s="45"/>
      <c r="H6" s="37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7"/>
      <c r="AT6" s="37"/>
      <c r="AU6" s="38"/>
      <c r="AV6" s="50"/>
      <c r="AW6" s="38"/>
      <c r="AX6" s="38"/>
      <c r="AY6" s="38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</row>
    <row r="7" spans="1:76" x14ac:dyDescent="0.25">
      <c r="A7" s="41"/>
      <c r="B7" s="41"/>
      <c r="C7" s="45"/>
      <c r="D7" s="45"/>
      <c r="E7" s="38"/>
      <c r="F7" s="39"/>
      <c r="G7" s="45"/>
      <c r="H7" s="37"/>
      <c r="I7" s="37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7"/>
      <c r="AT7" s="37"/>
      <c r="AU7" s="38"/>
      <c r="AV7" s="50"/>
      <c r="AW7" s="38"/>
      <c r="AX7" s="38"/>
      <c r="AY7" s="38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</row>
    <row r="8" spans="1:76" x14ac:dyDescent="0.25">
      <c r="A8" s="41"/>
      <c r="B8" s="41"/>
      <c r="C8" s="45"/>
      <c r="D8" s="45"/>
      <c r="E8" s="38"/>
      <c r="F8" s="37"/>
      <c r="G8" s="45"/>
      <c r="H8" s="37"/>
      <c r="I8" s="3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7"/>
      <c r="AT8" s="37"/>
      <c r="AU8" s="37"/>
      <c r="AV8" s="49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</row>
    <row r="9" spans="1:76" x14ac:dyDescent="0.25">
      <c r="A9" s="41"/>
      <c r="B9" s="41"/>
      <c r="C9" s="45"/>
      <c r="D9" s="45"/>
      <c r="E9" s="38"/>
      <c r="F9" s="37"/>
      <c r="G9" s="45"/>
      <c r="H9" s="37"/>
      <c r="I9" s="3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7"/>
      <c r="AT9" s="37"/>
      <c r="AU9" s="37"/>
      <c r="AV9" s="49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</row>
    <row r="10" spans="1:76" x14ac:dyDescent="0.25">
      <c r="A10" s="41"/>
      <c r="B10" s="41"/>
      <c r="C10" s="45"/>
      <c r="D10" s="45"/>
      <c r="E10" s="38"/>
      <c r="F10" s="37"/>
      <c r="G10" s="45"/>
      <c r="H10" s="37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7"/>
      <c r="AT10" s="37"/>
      <c r="AU10" s="37"/>
      <c r="AV10" s="49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</row>
    <row r="11" spans="1:76" x14ac:dyDescent="0.25">
      <c r="A11" s="41"/>
      <c r="B11" s="41"/>
      <c r="C11" s="45"/>
      <c r="D11" s="45"/>
      <c r="E11" s="38"/>
      <c r="F11" s="37"/>
      <c r="G11" s="45"/>
      <c r="H11" s="37"/>
      <c r="I11" s="3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7"/>
      <c r="AT11" s="37"/>
      <c r="AU11" s="37"/>
      <c r="AV11" s="49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</row>
    <row r="12" spans="1:76" x14ac:dyDescent="0.25">
      <c r="A12" s="41"/>
      <c r="B12" s="41"/>
      <c r="C12" s="45"/>
      <c r="D12" s="45"/>
      <c r="E12" s="38"/>
      <c r="F12" s="37"/>
      <c r="G12" s="45"/>
      <c r="H12" s="37"/>
      <c r="I12" s="3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</row>
    <row r="13" spans="1:76" x14ac:dyDescent="0.25">
      <c r="A13" s="41"/>
      <c r="B13" s="41"/>
      <c r="C13" s="45"/>
      <c r="D13" s="45"/>
      <c r="E13" s="38"/>
      <c r="F13" s="37"/>
      <c r="G13" s="45"/>
      <c r="H13" s="37"/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</row>
    <row r="14" spans="1:76" x14ac:dyDescent="0.25">
      <c r="A14" s="41"/>
      <c r="B14" s="41"/>
      <c r="C14" s="45"/>
      <c r="D14" s="45"/>
      <c r="E14" s="38"/>
      <c r="F14" s="37"/>
      <c r="G14" s="45"/>
      <c r="H14" s="37"/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</row>
    <row r="15" spans="1:76" x14ac:dyDescent="0.25">
      <c r="A15" s="41"/>
      <c r="B15" s="41"/>
      <c r="C15" s="45"/>
      <c r="D15" s="45"/>
      <c r="E15" s="38"/>
      <c r="F15" s="37"/>
      <c r="G15" s="45"/>
      <c r="H15" s="37"/>
      <c r="I15" s="37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</row>
  </sheetData>
  <autoFilter ref="A1:BX3" xr:uid="{F30E08CF-E8CC-49EB-B32C-48205D37B18B}"/>
  <sortState xmlns:xlrd2="http://schemas.microsoft.com/office/spreadsheetml/2017/richdata2" ref="A2:BX3">
    <sortCondition ref="A2:A3"/>
  </sortState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 receber</vt:lpstr>
      <vt:lpstr>Boletos Emitidos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Arts</dc:creator>
  <cp:lastModifiedBy>Term-02</cp:lastModifiedBy>
  <cp:lastPrinted>2026-04-28T14:53:19Z</cp:lastPrinted>
  <dcterms:created xsi:type="dcterms:W3CDTF">2022-04-10T17:28:22Z</dcterms:created>
  <dcterms:modified xsi:type="dcterms:W3CDTF">2026-08-22T14:51:21Z</dcterms:modified>
</cp:coreProperties>
</file>